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不同等级海况\"/>
    </mc:Choice>
  </mc:AlternateContent>
  <xr:revisionPtr revIDLastSave="0" documentId="13_ncr:1_{36184E02-867C-4D85-98DE-22340E4A65D8}" xr6:coauthVersionLast="47" xr6:coauthVersionMax="47" xr10:uidLastSave="{00000000-0000-0000-0000-000000000000}"/>
  <bookViews>
    <workbookView xWindow="0" yWindow="0" windowWidth="14660" windowHeight="139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7" i="1" l="1"/>
  <c r="Y47" i="1"/>
  <c r="Z47" i="1"/>
  <c r="AA47" i="1"/>
  <c r="AB47" i="1"/>
  <c r="W47" i="1"/>
  <c r="AB22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I49" i="1"/>
  <c r="J49" i="1"/>
  <c r="K49" i="1"/>
  <c r="L49" i="1"/>
  <c r="M49" i="1"/>
  <c r="H49" i="1"/>
  <c r="I63" i="1"/>
  <c r="I64" i="1"/>
  <c r="I65" i="1"/>
  <c r="I62" i="1"/>
  <c r="D66" i="1"/>
  <c r="E66" i="1"/>
  <c r="F66" i="1"/>
  <c r="G66" i="1"/>
  <c r="H66" i="1"/>
  <c r="C66" i="1"/>
  <c r="I57" i="1"/>
  <c r="I58" i="1"/>
  <c r="I59" i="1"/>
  <c r="I56" i="1"/>
  <c r="D60" i="1"/>
  <c r="E60" i="1"/>
  <c r="F60" i="1"/>
  <c r="G60" i="1"/>
  <c r="H60" i="1"/>
  <c r="C60" i="1"/>
  <c r="Z9" i="1"/>
  <c r="Z39" i="1"/>
  <c r="Y39" i="1"/>
  <c r="X39" i="1"/>
  <c r="W39" i="1"/>
  <c r="Z38" i="1"/>
  <c r="Y38" i="1"/>
  <c r="X38" i="1"/>
  <c r="W38" i="1"/>
  <c r="Z37" i="1"/>
  <c r="Y37" i="1"/>
  <c r="X37" i="1"/>
  <c r="W37" i="1"/>
  <c r="Z36" i="1"/>
  <c r="Y36" i="1"/>
  <c r="X36" i="1"/>
  <c r="W36" i="1"/>
  <c r="Z35" i="1"/>
  <c r="Y35" i="1"/>
  <c r="X35" i="1"/>
  <c r="W35" i="1"/>
  <c r="Z34" i="1"/>
  <c r="Y34" i="1"/>
  <c r="X34" i="1"/>
  <c r="W34" i="1"/>
  <c r="Z33" i="1"/>
  <c r="Y33" i="1"/>
  <c r="X33" i="1"/>
  <c r="W33" i="1"/>
  <c r="Z32" i="1"/>
  <c r="Y32" i="1"/>
  <c r="X32" i="1"/>
  <c r="W32" i="1"/>
  <c r="Z31" i="1"/>
  <c r="Y31" i="1"/>
  <c r="X31" i="1"/>
  <c r="W31" i="1"/>
  <c r="Z30" i="1"/>
  <c r="Y30" i="1"/>
  <c r="X30" i="1"/>
  <c r="W30" i="1"/>
  <c r="Z29" i="1"/>
  <c r="Y29" i="1"/>
  <c r="X29" i="1"/>
  <c r="W29" i="1"/>
  <c r="Z28" i="1"/>
  <c r="Y28" i="1"/>
  <c r="X28" i="1"/>
  <c r="W28" i="1"/>
  <c r="Z27" i="1"/>
  <c r="Y27" i="1"/>
  <c r="X27" i="1"/>
  <c r="W27" i="1"/>
  <c r="Z26" i="1"/>
  <c r="Y26" i="1"/>
  <c r="X26" i="1"/>
  <c r="W26" i="1"/>
  <c r="Z25" i="1"/>
  <c r="Y25" i="1"/>
  <c r="X25" i="1"/>
  <c r="W25" i="1"/>
  <c r="Z24" i="1"/>
  <c r="Y24" i="1"/>
  <c r="X24" i="1"/>
  <c r="W24" i="1"/>
  <c r="Z23" i="1"/>
  <c r="Y23" i="1"/>
  <c r="X23" i="1"/>
  <c r="W23" i="1"/>
  <c r="Z22" i="1"/>
  <c r="Y22" i="1"/>
  <c r="X22" i="1"/>
  <c r="W22" i="1"/>
  <c r="Z21" i="1"/>
  <c r="Y21" i="1"/>
  <c r="X21" i="1"/>
  <c r="W21" i="1"/>
  <c r="Z20" i="1"/>
  <c r="Y20" i="1"/>
  <c r="X20" i="1"/>
  <c r="W20" i="1"/>
  <c r="Z19" i="1"/>
  <c r="Y19" i="1"/>
  <c r="X19" i="1"/>
  <c r="W19" i="1"/>
  <c r="Z18" i="1"/>
  <c r="Y18" i="1"/>
  <c r="X18" i="1"/>
  <c r="W18" i="1"/>
  <c r="Z17" i="1"/>
  <c r="Y17" i="1"/>
  <c r="X17" i="1"/>
  <c r="W17" i="1"/>
  <c r="Z16" i="1"/>
  <c r="Y16" i="1"/>
  <c r="X16" i="1"/>
  <c r="W16" i="1"/>
  <c r="Z15" i="1"/>
  <c r="Y15" i="1"/>
  <c r="X15" i="1"/>
  <c r="W15" i="1"/>
  <c r="Z14" i="1"/>
  <c r="Y14" i="1"/>
  <c r="X14" i="1"/>
  <c r="W14" i="1"/>
  <c r="Z13" i="1"/>
  <c r="Y13" i="1"/>
  <c r="X13" i="1"/>
  <c r="W13" i="1"/>
  <c r="Z12" i="1"/>
  <c r="Y12" i="1"/>
  <c r="X12" i="1"/>
  <c r="W12" i="1"/>
  <c r="Z11" i="1"/>
  <c r="Y11" i="1"/>
  <c r="X11" i="1"/>
  <c r="W11" i="1"/>
  <c r="Z10" i="1"/>
  <c r="Y10" i="1"/>
  <c r="X10" i="1"/>
  <c r="W10" i="1"/>
  <c r="Y9" i="1"/>
  <c r="X9" i="1"/>
  <c r="W9" i="1"/>
  <c r="Z8" i="1"/>
  <c r="Y8" i="1"/>
  <c r="X8" i="1"/>
  <c r="W8" i="1"/>
  <c r="Z7" i="1"/>
  <c r="Y7" i="1"/>
  <c r="X7" i="1"/>
  <c r="W7" i="1"/>
  <c r="Z6" i="1"/>
  <c r="Y6" i="1"/>
  <c r="X6" i="1"/>
  <c r="W6" i="1"/>
  <c r="Z5" i="1"/>
  <c r="Y5" i="1"/>
  <c r="X5" i="1"/>
  <c r="W5" i="1"/>
  <c r="Z4" i="1"/>
  <c r="Y4" i="1"/>
  <c r="X4" i="1"/>
  <c r="W4" i="1"/>
  <c r="I14" i="1"/>
  <c r="J14" i="1"/>
  <c r="K14" i="1"/>
  <c r="L14" i="1"/>
  <c r="I15" i="1"/>
  <c r="J15" i="1"/>
  <c r="K15" i="1"/>
  <c r="L15" i="1"/>
  <c r="I16" i="1"/>
  <c r="J16" i="1"/>
  <c r="K16" i="1"/>
  <c r="L16" i="1"/>
  <c r="I17" i="1"/>
  <c r="J17" i="1"/>
  <c r="K17" i="1"/>
  <c r="L17" i="1"/>
  <c r="I18" i="1"/>
  <c r="J18" i="1"/>
  <c r="K18" i="1"/>
  <c r="L18" i="1"/>
  <c r="I19" i="1"/>
  <c r="J19" i="1"/>
  <c r="K19" i="1"/>
  <c r="L19" i="1"/>
  <c r="I20" i="1"/>
  <c r="J20" i="1"/>
  <c r="K20" i="1"/>
  <c r="L20" i="1"/>
  <c r="I21" i="1"/>
  <c r="J21" i="1"/>
  <c r="K21" i="1"/>
  <c r="L21" i="1"/>
  <c r="I22" i="1"/>
  <c r="J22" i="1"/>
  <c r="K22" i="1"/>
  <c r="L22" i="1"/>
  <c r="I23" i="1"/>
  <c r="J23" i="1"/>
  <c r="K23" i="1"/>
  <c r="L23" i="1"/>
  <c r="I24" i="1"/>
  <c r="J24" i="1"/>
  <c r="K24" i="1"/>
  <c r="L24" i="1"/>
  <c r="I25" i="1"/>
  <c r="J25" i="1"/>
  <c r="K25" i="1"/>
  <c r="L25" i="1"/>
  <c r="I26" i="1"/>
  <c r="J26" i="1"/>
  <c r="K26" i="1"/>
  <c r="L26" i="1"/>
  <c r="I27" i="1"/>
  <c r="J27" i="1"/>
  <c r="K27" i="1"/>
  <c r="L27" i="1"/>
  <c r="I28" i="1"/>
  <c r="J28" i="1"/>
  <c r="K28" i="1"/>
  <c r="L28" i="1"/>
  <c r="I29" i="1"/>
  <c r="J29" i="1"/>
  <c r="K29" i="1"/>
  <c r="L29" i="1"/>
  <c r="I30" i="1"/>
  <c r="J30" i="1"/>
  <c r="K30" i="1"/>
  <c r="L30" i="1"/>
  <c r="I31" i="1"/>
  <c r="J31" i="1"/>
  <c r="K31" i="1"/>
  <c r="L31" i="1"/>
  <c r="I32" i="1"/>
  <c r="J32" i="1"/>
  <c r="K32" i="1"/>
  <c r="L32" i="1"/>
  <c r="I33" i="1"/>
  <c r="J33" i="1"/>
  <c r="K33" i="1"/>
  <c r="L33" i="1"/>
  <c r="I34" i="1"/>
  <c r="J34" i="1"/>
  <c r="K34" i="1"/>
  <c r="L34" i="1"/>
  <c r="I35" i="1"/>
  <c r="J35" i="1"/>
  <c r="K35" i="1"/>
  <c r="L35" i="1"/>
  <c r="I36" i="1"/>
  <c r="J36" i="1"/>
  <c r="K36" i="1"/>
  <c r="L36" i="1"/>
  <c r="I37" i="1"/>
  <c r="J37" i="1"/>
  <c r="K37" i="1"/>
  <c r="L37" i="1"/>
  <c r="I38" i="1"/>
  <c r="J38" i="1"/>
  <c r="K38" i="1"/>
  <c r="L38" i="1"/>
  <c r="I39" i="1"/>
  <c r="J39" i="1"/>
  <c r="K39" i="1"/>
  <c r="L39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I12" i="1"/>
  <c r="J12" i="1"/>
  <c r="K12" i="1"/>
  <c r="L12" i="1"/>
  <c r="I13" i="1"/>
  <c r="J13" i="1"/>
  <c r="K13" i="1"/>
  <c r="L13" i="1"/>
  <c r="L4" i="1"/>
  <c r="K4" i="1"/>
  <c r="J4" i="1"/>
  <c r="I4" i="1"/>
  <c r="N20" i="1" l="1"/>
  <c r="N9" i="1"/>
  <c r="N24" i="1"/>
  <c r="N36" i="1"/>
  <c r="N16" i="1"/>
  <c r="N28" i="1"/>
  <c r="N39" i="1"/>
  <c r="N13" i="1"/>
  <c r="N18" i="1"/>
  <c r="N5" i="1"/>
  <c r="N8" i="1"/>
  <c r="N26" i="1"/>
  <c r="N32" i="1"/>
  <c r="N23" i="1"/>
  <c r="N7" i="1"/>
  <c r="N19" i="1"/>
  <c r="N34" i="1"/>
  <c r="N38" i="1"/>
  <c r="N30" i="1"/>
  <c r="N4" i="1"/>
  <c r="N25" i="1"/>
  <c r="N15" i="1"/>
  <c r="N22" i="1"/>
  <c r="N14" i="1"/>
  <c r="N12" i="1"/>
  <c r="N35" i="1"/>
  <c r="N31" i="1"/>
  <c r="N10" i="1"/>
  <c r="N37" i="1"/>
  <c r="N29" i="1"/>
  <c r="N6" i="1"/>
  <c r="N33" i="1"/>
  <c r="N21" i="1"/>
  <c r="N17" i="1"/>
  <c r="N11" i="1"/>
  <c r="N27" i="1"/>
</calcChain>
</file>

<file path=xl/sharedStrings.xml><?xml version="1.0" encoding="utf-8"?>
<sst xmlns="http://schemas.openxmlformats.org/spreadsheetml/2006/main" count="99" uniqueCount="21">
  <si>
    <t>海况等级</t>
    <phoneticPr fontId="1" type="noConversion"/>
  </si>
  <si>
    <t>真实值</t>
    <phoneticPr fontId="1" type="noConversion"/>
  </si>
  <si>
    <t>均值</t>
  </si>
  <si>
    <t>标准差</t>
  </si>
  <si>
    <t>第一四分位数</t>
  </si>
  <si>
    <t>第二四分位数</t>
  </si>
  <si>
    <t>第三四分位数</t>
  </si>
  <si>
    <t>最大值</t>
  </si>
  <si>
    <t>统计指标</t>
    <phoneticPr fontId="1" type="noConversion"/>
  </si>
  <si>
    <t>三级海况</t>
  </si>
  <si>
    <t>四级海况</t>
    <phoneticPr fontId="1" type="noConversion"/>
  </si>
  <si>
    <t>五级海况</t>
    <phoneticPr fontId="1" type="noConversion"/>
  </si>
  <si>
    <t>六级海况</t>
    <phoneticPr fontId="1" type="noConversion"/>
  </si>
  <si>
    <t>七级海况</t>
    <phoneticPr fontId="1" type="noConversion"/>
  </si>
  <si>
    <t>八级海况</t>
    <phoneticPr fontId="1" type="noConversion"/>
  </si>
  <si>
    <t>不同预报提前量下的预测值</t>
    <phoneticPr fontId="1" type="noConversion"/>
  </si>
  <si>
    <t>背浪系泊</t>
    <phoneticPr fontId="1" type="noConversion"/>
  </si>
  <si>
    <t>不同预报提前量下的预测值（loss/%）</t>
    <phoneticPr fontId="1" type="noConversion"/>
  </si>
  <si>
    <t>迎浪系泊</t>
  </si>
  <si>
    <t>min</t>
    <phoneticPr fontId="1" type="noConversion"/>
  </si>
  <si>
    <t>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</si>
</sst>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_);[Red]\(0.0\)"/>
    <numFmt numFmtId="178" formatCode="0.000_);[Red]\(0.000\)"/>
    <numFmt numFmtId="179" formatCode="0.000_ "/>
    <numFmt numFmtId="180" formatCode="0.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177" fontId="0" fillId="2" borderId="0" xfId="0" applyNumberFormat="1" applyFill="1" applyAlignment="1">
      <alignment horizontal="center" vertical="center" wrapText="1"/>
    </xf>
    <xf numFmtId="177" fontId="2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78" fontId="0" fillId="0" borderId="0" xfId="0" applyNumberFormat="1" applyAlignment="1">
      <alignment horizontal="center" vertical="center" wrapText="1"/>
    </xf>
    <xf numFmtId="179" fontId="0" fillId="0" borderId="0" xfId="0" applyNumberFormat="1" applyAlignment="1">
      <alignment horizontal="center" vertical="center" wrapText="1"/>
    </xf>
    <xf numFmtId="18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6"/>
  <sheetViews>
    <sheetView tabSelected="1" topLeftCell="A19" zoomScale="90" zoomScaleNormal="90" workbookViewId="0">
      <pane xSplit="1" topLeftCell="T1" activePane="topRight" state="frozen"/>
      <selection pane="topRight" activeCell="AA17" sqref="AA17"/>
    </sheetView>
  </sheetViews>
  <sheetFormatPr defaultRowHeight="14" x14ac:dyDescent="0.3"/>
  <cols>
    <col min="1" max="1" width="10.75" style="1" customWidth="1"/>
    <col min="2" max="2" width="8.6640625" style="1" customWidth="1"/>
    <col min="3" max="5" width="10.6640625" style="1" bestFit="1" customWidth="1"/>
    <col min="6" max="6" width="8.6640625" style="1"/>
    <col min="7" max="8" width="8.6640625" style="1" customWidth="1"/>
    <col min="9" max="11" width="11.75" style="3" bestFit="1" customWidth="1"/>
    <col min="12" max="12" width="8.6640625" style="3" customWidth="1"/>
    <col min="13" max="13" width="8.6640625" style="1" customWidth="1"/>
    <col min="14" max="14" width="8.6640625" style="1"/>
    <col min="15" max="15" width="10.75" style="1" customWidth="1"/>
    <col min="16" max="16" width="8.6640625" style="1"/>
    <col min="17" max="19" width="10.6640625" style="1" bestFit="1" customWidth="1"/>
    <col min="20" max="20" width="8.6640625" style="1"/>
    <col min="21" max="21" width="10.6640625" style="1" bestFit="1" customWidth="1"/>
    <col min="22" max="22" width="8.6640625" style="1"/>
    <col min="23" max="25" width="11.75" style="3" bestFit="1" customWidth="1"/>
    <col min="26" max="26" width="8.6640625" style="3"/>
    <col min="27" max="16384" width="8.6640625" style="1"/>
  </cols>
  <sheetData>
    <row r="1" spans="1:28" x14ac:dyDescent="0.3">
      <c r="A1" s="7"/>
      <c r="B1" s="7"/>
      <c r="C1" s="11" t="s">
        <v>18</v>
      </c>
      <c r="D1" s="11"/>
      <c r="E1" s="11"/>
      <c r="F1" s="11"/>
      <c r="G1" s="11"/>
      <c r="O1" s="11" t="s">
        <v>16</v>
      </c>
      <c r="P1" s="11"/>
      <c r="Q1" s="11"/>
      <c r="R1" s="11"/>
      <c r="S1" s="11"/>
      <c r="T1" s="11"/>
      <c r="U1" s="11"/>
    </row>
    <row r="2" spans="1:28" x14ac:dyDescent="0.3">
      <c r="A2" s="11" t="s">
        <v>0</v>
      </c>
      <c r="B2" s="11" t="s">
        <v>8</v>
      </c>
      <c r="C2" s="11" t="s">
        <v>1</v>
      </c>
      <c r="D2" s="11" t="s">
        <v>15</v>
      </c>
      <c r="E2" s="11"/>
      <c r="F2" s="11"/>
      <c r="G2" s="11"/>
      <c r="I2" s="12" t="s">
        <v>17</v>
      </c>
      <c r="J2" s="12"/>
      <c r="K2" s="12"/>
      <c r="L2" s="12"/>
      <c r="O2" s="11" t="s">
        <v>0</v>
      </c>
      <c r="P2" s="11" t="s">
        <v>8</v>
      </c>
      <c r="Q2" s="11" t="s">
        <v>1</v>
      </c>
      <c r="R2" s="11" t="s">
        <v>15</v>
      </c>
      <c r="S2" s="11"/>
      <c r="T2" s="11"/>
      <c r="U2" s="11"/>
      <c r="W2" s="12" t="s">
        <v>17</v>
      </c>
      <c r="X2" s="12"/>
      <c r="Y2" s="12"/>
      <c r="Z2" s="12"/>
    </row>
    <row r="3" spans="1:28" x14ac:dyDescent="0.3">
      <c r="A3" s="11"/>
      <c r="B3" s="11"/>
      <c r="C3" s="11"/>
      <c r="D3" s="1">
        <v>10</v>
      </c>
      <c r="E3" s="1">
        <v>20</v>
      </c>
      <c r="F3" s="1">
        <v>30</v>
      </c>
      <c r="G3" s="1">
        <v>40</v>
      </c>
      <c r="I3" s="3">
        <v>10</v>
      </c>
      <c r="J3" s="3">
        <v>20</v>
      </c>
      <c r="K3" s="3">
        <v>30</v>
      </c>
      <c r="L3" s="3">
        <v>40</v>
      </c>
      <c r="M3" s="1" t="s">
        <v>19</v>
      </c>
      <c r="N3" s="1" t="s">
        <v>20</v>
      </c>
      <c r="O3" s="11"/>
      <c r="P3" s="11"/>
      <c r="Q3" s="11"/>
      <c r="R3" s="1">
        <v>10</v>
      </c>
      <c r="S3" s="1">
        <v>20</v>
      </c>
      <c r="T3" s="1">
        <v>30</v>
      </c>
      <c r="U3" s="1">
        <v>40</v>
      </c>
      <c r="W3" s="3">
        <v>10</v>
      </c>
      <c r="X3" s="3">
        <v>20</v>
      </c>
      <c r="Y3" s="3">
        <v>30</v>
      </c>
      <c r="Z3" s="3">
        <v>40</v>
      </c>
      <c r="AB3" s="1" t="s">
        <v>20</v>
      </c>
    </row>
    <row r="4" spans="1:28" x14ac:dyDescent="0.3">
      <c r="A4" s="11" t="s">
        <v>9</v>
      </c>
      <c r="B4" s="1" t="s">
        <v>2</v>
      </c>
      <c r="C4" s="1">
        <v>4973.8777799999998</v>
      </c>
      <c r="D4" s="1">
        <v>4965.3666700000003</v>
      </c>
      <c r="E4" s="1">
        <v>4978.2577799999999</v>
      </c>
      <c r="F4" s="1">
        <v>4987.7777800000003</v>
      </c>
      <c r="G4" s="1">
        <v>4983.3333300000004</v>
      </c>
      <c r="I4" s="5">
        <f>ABS((C4-D4)/C4)*100</f>
        <v>0.17111618693613059</v>
      </c>
      <c r="J4" s="6">
        <f>ABS((C4-E4)/C4)*100</f>
        <v>8.8060064877591535E-2</v>
      </c>
      <c r="K4" s="5">
        <f>ABS((C4-F4)/C4)*100</f>
        <v>0.27946002324167579</v>
      </c>
      <c r="L4" s="5">
        <f>ABS((C4-G4)/C4)*100</f>
        <v>0.19010418868797746</v>
      </c>
      <c r="N4" s="3">
        <f>MAX(I4:L4)</f>
        <v>0.27946002324167579</v>
      </c>
      <c r="O4" s="11" t="s">
        <v>9</v>
      </c>
      <c r="P4" s="1" t="s">
        <v>2</v>
      </c>
      <c r="Q4" s="1">
        <v>4970.0822200000002</v>
      </c>
      <c r="R4" s="1">
        <v>4970.3333300000004</v>
      </c>
      <c r="S4" s="1">
        <v>4967.1088900000004</v>
      </c>
      <c r="T4" s="1">
        <v>4973.5022200000003</v>
      </c>
      <c r="U4" s="1">
        <v>4965.62889</v>
      </c>
      <c r="W4" s="6">
        <f>ABS((Q4-R4)/Q4)*100</f>
        <v>5.0524315068605323E-3</v>
      </c>
      <c r="X4" s="5">
        <f>ABS((Q4-S4)/Q4)*100</f>
        <v>5.9824563626631619E-2</v>
      </c>
      <c r="Y4" s="5">
        <f>ABS((Q4-T4)/Q4)*100</f>
        <v>6.8811738893125848E-2</v>
      </c>
      <c r="Z4" s="5">
        <f>ABS((Q4-U4)/Q4)*100</f>
        <v>8.9602743030683274E-2</v>
      </c>
      <c r="AB4" s="5">
        <f>MAX(W4:Z4)</f>
        <v>8.9602743030683274E-2</v>
      </c>
    </row>
    <row r="5" spans="1:28" x14ac:dyDescent="0.3">
      <c r="A5" s="11"/>
      <c r="B5" s="1" t="s">
        <v>3</v>
      </c>
      <c r="C5" s="1">
        <v>317.40985999999998</v>
      </c>
      <c r="D5" s="1">
        <v>287.24732</v>
      </c>
      <c r="E5" s="1">
        <v>291.06283000000002</v>
      </c>
      <c r="F5" s="1">
        <v>289.38107000000002</v>
      </c>
      <c r="G5" s="1">
        <v>290.35001999999997</v>
      </c>
      <c r="I5" s="5">
        <f t="shared" ref="I5:I14" si="0">ABS((C5-D5)/C5)*100</f>
        <v>9.5027104703048551</v>
      </c>
      <c r="J5" s="6">
        <f t="shared" ref="J5:J14" si="1">ABS((C5-E5)/C5)*100</f>
        <v>8.3006337610305998</v>
      </c>
      <c r="K5" s="5">
        <f t="shared" ref="K5:K14" si="2">ABS((C5-F5)/C5)*100</f>
        <v>8.8304723741096005</v>
      </c>
      <c r="L5" s="5">
        <f t="shared" ref="L5:L14" si="3">ABS((C5-G5)/C5)*100</f>
        <v>8.5252046045450545</v>
      </c>
      <c r="N5" s="3">
        <f t="shared" ref="N5:N39" si="4">MAX(I5:L5)</f>
        <v>9.5027104703048551</v>
      </c>
      <c r="O5" s="11"/>
      <c r="P5" s="1" t="s">
        <v>3</v>
      </c>
      <c r="Q5" s="1">
        <v>174.55667</v>
      </c>
      <c r="R5" s="1">
        <v>172.39529999999999</v>
      </c>
      <c r="S5" s="1">
        <v>155.70908</v>
      </c>
      <c r="T5" s="1">
        <v>161.1525</v>
      </c>
      <c r="U5" s="1">
        <v>173.31265999999999</v>
      </c>
      <c r="W5" s="5">
        <f t="shared" ref="W5:W39" si="5">ABS((Q5-R5)/Q5)*100</f>
        <v>1.2382053346915962</v>
      </c>
      <c r="X5" s="5">
        <f t="shared" ref="X5:X39" si="6">ABS((Q5-S5)/Q5)*100</f>
        <v>10.797404648014881</v>
      </c>
      <c r="Y5" s="5">
        <f t="shared" ref="Y5:Y39" si="7">ABS((Q5-T5)/Q5)*100</f>
        <v>7.6789789814390899</v>
      </c>
      <c r="Z5" s="6">
        <f t="shared" ref="Z5:Z39" si="8">ABS((Q5-U5)/Q5)*100</f>
        <v>0.71266826985184983</v>
      </c>
      <c r="AB5" s="5">
        <f t="shared" ref="AB5:AB39" si="9">MAX(W5:Z5)</f>
        <v>10.797404648014881</v>
      </c>
    </row>
    <row r="6" spans="1:28" ht="30.5" customHeight="1" x14ac:dyDescent="0.3">
      <c r="A6" s="11"/>
      <c r="B6" s="1" t="s">
        <v>4</v>
      </c>
      <c r="C6" s="1">
        <v>4750</v>
      </c>
      <c r="D6" s="1">
        <v>4780</v>
      </c>
      <c r="E6" s="1">
        <v>4800</v>
      </c>
      <c r="F6" s="1">
        <v>4810</v>
      </c>
      <c r="G6" s="1">
        <v>4810</v>
      </c>
      <c r="I6" s="6">
        <f t="shared" si="0"/>
        <v>0.63157894736842102</v>
      </c>
      <c r="J6" s="5">
        <f t="shared" si="1"/>
        <v>1.0526315789473684</v>
      </c>
      <c r="K6" s="5">
        <f t="shared" si="2"/>
        <v>1.263157894736842</v>
      </c>
      <c r="L6" s="5">
        <f t="shared" si="3"/>
        <v>1.263157894736842</v>
      </c>
      <c r="N6" s="3">
        <f t="shared" si="4"/>
        <v>1.263157894736842</v>
      </c>
      <c r="O6" s="11"/>
      <c r="P6" s="1" t="s">
        <v>4</v>
      </c>
      <c r="Q6" s="1">
        <v>4840</v>
      </c>
      <c r="R6" s="1">
        <v>4850</v>
      </c>
      <c r="S6" s="1">
        <v>4850</v>
      </c>
      <c r="T6" s="1">
        <v>4880</v>
      </c>
      <c r="U6" s="1">
        <v>4860</v>
      </c>
      <c r="W6" s="6">
        <f t="shared" si="5"/>
        <v>0.20661157024793389</v>
      </c>
      <c r="X6" s="6">
        <f t="shared" si="6"/>
        <v>0.20661157024793389</v>
      </c>
      <c r="Y6" s="5">
        <f t="shared" si="7"/>
        <v>0.82644628099173556</v>
      </c>
      <c r="Z6" s="5">
        <f t="shared" si="8"/>
        <v>0.41322314049586778</v>
      </c>
      <c r="AB6" s="5">
        <f t="shared" si="9"/>
        <v>0.82644628099173556</v>
      </c>
    </row>
    <row r="7" spans="1:28" ht="29" customHeight="1" x14ac:dyDescent="0.3">
      <c r="A7" s="11"/>
      <c r="B7" s="1" t="s">
        <v>5</v>
      </c>
      <c r="C7" s="1">
        <v>4970</v>
      </c>
      <c r="D7" s="1">
        <v>4950</v>
      </c>
      <c r="E7" s="1">
        <v>4970</v>
      </c>
      <c r="F7" s="1">
        <v>4970</v>
      </c>
      <c r="G7" s="1">
        <v>4990</v>
      </c>
      <c r="I7" s="5">
        <f t="shared" si="0"/>
        <v>0.4024144869215292</v>
      </c>
      <c r="J7" s="6">
        <f t="shared" si="1"/>
        <v>0</v>
      </c>
      <c r="K7" s="6">
        <f t="shared" si="2"/>
        <v>0</v>
      </c>
      <c r="L7" s="5">
        <f t="shared" si="3"/>
        <v>0.4024144869215292</v>
      </c>
      <c r="N7" s="3">
        <f t="shared" si="4"/>
        <v>0.4024144869215292</v>
      </c>
      <c r="O7" s="11"/>
      <c r="P7" s="1" t="s">
        <v>5</v>
      </c>
      <c r="Q7" s="1">
        <v>4970</v>
      </c>
      <c r="R7" s="1">
        <v>4970</v>
      </c>
      <c r="S7" s="1">
        <v>4960</v>
      </c>
      <c r="T7" s="1">
        <v>4970</v>
      </c>
      <c r="U7" s="1">
        <v>4970</v>
      </c>
      <c r="W7" s="6">
        <f t="shared" si="5"/>
        <v>0</v>
      </c>
      <c r="X7" s="5">
        <f t="shared" si="6"/>
        <v>0.2012072434607646</v>
      </c>
      <c r="Y7" s="6">
        <f t="shared" si="7"/>
        <v>0</v>
      </c>
      <c r="Z7" s="6">
        <f t="shared" si="8"/>
        <v>0</v>
      </c>
      <c r="AB7" s="5">
        <f t="shared" si="9"/>
        <v>0.2012072434607646</v>
      </c>
    </row>
    <row r="8" spans="1:28" ht="28" customHeight="1" x14ac:dyDescent="0.3">
      <c r="A8" s="11"/>
      <c r="B8" s="1" t="s">
        <v>6</v>
      </c>
      <c r="C8" s="1">
        <v>5180</v>
      </c>
      <c r="D8" s="1">
        <v>5180</v>
      </c>
      <c r="E8" s="1">
        <v>5190</v>
      </c>
      <c r="F8" s="1">
        <v>5190</v>
      </c>
      <c r="G8" s="1">
        <v>5180</v>
      </c>
      <c r="I8" s="6">
        <f t="shared" si="0"/>
        <v>0</v>
      </c>
      <c r="J8" s="5">
        <f t="shared" si="1"/>
        <v>0.19305019305019305</v>
      </c>
      <c r="K8" s="5">
        <f t="shared" si="2"/>
        <v>0.19305019305019305</v>
      </c>
      <c r="L8" s="6">
        <f t="shared" si="3"/>
        <v>0</v>
      </c>
      <c r="N8" s="3">
        <f t="shared" si="4"/>
        <v>0.19305019305019305</v>
      </c>
      <c r="O8" s="11"/>
      <c r="P8" s="1" t="s">
        <v>6</v>
      </c>
      <c r="Q8" s="1">
        <v>5090</v>
      </c>
      <c r="R8" s="1">
        <v>5090</v>
      </c>
      <c r="S8" s="1">
        <v>5080</v>
      </c>
      <c r="T8" s="1">
        <v>5080</v>
      </c>
      <c r="U8" s="1">
        <v>5080</v>
      </c>
      <c r="W8" s="6">
        <f t="shared" si="5"/>
        <v>0</v>
      </c>
      <c r="X8" s="5">
        <f t="shared" si="6"/>
        <v>0.19646365422396855</v>
      </c>
      <c r="Y8" s="5">
        <f t="shared" si="7"/>
        <v>0.19646365422396855</v>
      </c>
      <c r="Z8" s="5">
        <f t="shared" si="8"/>
        <v>0.19646365422396855</v>
      </c>
      <c r="AB8" s="5">
        <f t="shared" si="9"/>
        <v>0.19646365422396855</v>
      </c>
    </row>
    <row r="9" spans="1:28" x14ac:dyDescent="0.3">
      <c r="A9" s="11"/>
      <c r="B9" s="1" t="s">
        <v>7</v>
      </c>
      <c r="C9" s="1">
        <v>5950</v>
      </c>
      <c r="D9" s="1">
        <v>5850</v>
      </c>
      <c r="E9" s="1">
        <v>5820</v>
      </c>
      <c r="F9" s="1">
        <v>5890</v>
      </c>
      <c r="G9" s="1">
        <v>5940</v>
      </c>
      <c r="I9" s="5">
        <f t="shared" si="0"/>
        <v>1.680672268907563</v>
      </c>
      <c r="J9" s="5">
        <f t="shared" si="1"/>
        <v>2.1848739495798317</v>
      </c>
      <c r="K9" s="5">
        <f t="shared" si="2"/>
        <v>1.0084033613445378</v>
      </c>
      <c r="L9" s="6">
        <f t="shared" si="3"/>
        <v>0.16806722689075632</v>
      </c>
      <c r="N9" s="3">
        <f t="shared" si="4"/>
        <v>2.1848739495798317</v>
      </c>
      <c r="O9" s="11"/>
      <c r="P9" s="1" t="s">
        <v>7</v>
      </c>
      <c r="Q9" s="1">
        <v>5470</v>
      </c>
      <c r="R9" s="1">
        <v>5570</v>
      </c>
      <c r="S9" s="1">
        <v>5390</v>
      </c>
      <c r="T9" s="1">
        <v>5600</v>
      </c>
      <c r="U9" s="1">
        <v>5500</v>
      </c>
      <c r="W9" s="5">
        <f t="shared" si="5"/>
        <v>1.8281535648994516</v>
      </c>
      <c r="X9" s="5">
        <f t="shared" si="6"/>
        <v>1.4625228519195612</v>
      </c>
      <c r="Y9" s="5">
        <f t="shared" si="7"/>
        <v>2.376599634369287</v>
      </c>
      <c r="Z9" s="6">
        <f t="shared" si="8"/>
        <v>0.54844606946983543</v>
      </c>
      <c r="AB9" s="5">
        <f t="shared" si="9"/>
        <v>2.376599634369287</v>
      </c>
    </row>
    <row r="10" spans="1:28" x14ac:dyDescent="0.3">
      <c r="A10" s="11" t="s">
        <v>10</v>
      </c>
      <c r="B10" s="1" t="s">
        <v>2</v>
      </c>
      <c r="C10" s="1">
        <v>4995.3777799999998</v>
      </c>
      <c r="D10" s="1">
        <v>5029.8888900000002</v>
      </c>
      <c r="E10" s="1">
        <v>5005.2377800000004</v>
      </c>
      <c r="F10" s="1">
        <v>4991.5466699999997</v>
      </c>
      <c r="G10" s="1">
        <v>5002.7977799999999</v>
      </c>
      <c r="I10" s="3">
        <f t="shared" si="0"/>
        <v>0.69086086217888354</v>
      </c>
      <c r="J10" s="3">
        <f t="shared" si="1"/>
        <v>0.19738246903922016</v>
      </c>
      <c r="K10" s="4">
        <f t="shared" si="2"/>
        <v>7.6693098474727994E-2</v>
      </c>
      <c r="L10" s="4">
        <f t="shared" si="3"/>
        <v>0.14853731442910156</v>
      </c>
      <c r="N10" s="3">
        <f t="shared" si="4"/>
        <v>0.69086086217888354</v>
      </c>
      <c r="O10" s="11" t="s">
        <v>10</v>
      </c>
      <c r="P10" s="1" t="s">
        <v>2</v>
      </c>
      <c r="Q10" s="1">
        <v>4958.3599999999997</v>
      </c>
      <c r="R10" s="1">
        <v>4971.4911099999999</v>
      </c>
      <c r="S10" s="1">
        <v>4959.8244400000003</v>
      </c>
      <c r="T10" s="1">
        <v>4969.3955599999999</v>
      </c>
      <c r="U10" s="1">
        <v>4971.2844400000004</v>
      </c>
      <c r="W10" s="3">
        <f t="shared" si="5"/>
        <v>0.26482768496035508</v>
      </c>
      <c r="X10" s="4">
        <f t="shared" si="6"/>
        <v>2.953476552732456E-2</v>
      </c>
      <c r="Y10" s="3">
        <f t="shared" si="7"/>
        <v>0.22256471897966787</v>
      </c>
      <c r="Z10" s="3">
        <f t="shared" si="8"/>
        <v>0.26065957292331915</v>
      </c>
      <c r="AB10" s="3">
        <f t="shared" si="9"/>
        <v>0.26482768496035508</v>
      </c>
    </row>
    <row r="11" spans="1:28" x14ac:dyDescent="0.3">
      <c r="A11" s="11"/>
      <c r="B11" s="1" t="s">
        <v>3</v>
      </c>
      <c r="C11" s="1">
        <v>739.52642000000003</v>
      </c>
      <c r="D11" s="1">
        <v>720.59811999999999</v>
      </c>
      <c r="E11" s="1">
        <v>749.67516999999998</v>
      </c>
      <c r="F11" s="1">
        <v>743.18867999999998</v>
      </c>
      <c r="G11" s="1">
        <v>711.60599000000002</v>
      </c>
      <c r="I11" s="3">
        <f t="shared" si="0"/>
        <v>2.559516399698071</v>
      </c>
      <c r="J11" s="3">
        <f t="shared" si="1"/>
        <v>1.3723309574254223</v>
      </c>
      <c r="K11" s="4">
        <f t="shared" si="2"/>
        <v>0.4952169254480383</v>
      </c>
      <c r="L11" s="3">
        <f t="shared" si="3"/>
        <v>3.7754472652917537</v>
      </c>
      <c r="N11" s="3">
        <f t="shared" si="4"/>
        <v>3.7754472652917537</v>
      </c>
      <c r="O11" s="11"/>
      <c r="P11" s="1" t="s">
        <v>3</v>
      </c>
      <c r="Q11" s="1">
        <v>284.23084999999998</v>
      </c>
      <c r="R11" s="1">
        <v>240.96176</v>
      </c>
      <c r="S11" s="1">
        <v>242.22094000000001</v>
      </c>
      <c r="T11" s="1">
        <v>243.47943000000001</v>
      </c>
      <c r="U11" s="1">
        <v>243.79254</v>
      </c>
      <c r="W11" s="3">
        <f t="shared" si="5"/>
        <v>15.223220843198401</v>
      </c>
      <c r="X11" s="3">
        <f t="shared" si="6"/>
        <v>14.780207707924726</v>
      </c>
      <c r="Y11" s="3">
        <f t="shared" si="7"/>
        <v>14.33743733306922</v>
      </c>
      <c r="Z11" s="4">
        <f t="shared" si="8"/>
        <v>14.227276877228483</v>
      </c>
      <c r="AB11" s="3">
        <f t="shared" si="9"/>
        <v>15.223220843198401</v>
      </c>
    </row>
    <row r="12" spans="1:28" ht="28" x14ac:dyDescent="0.3">
      <c r="A12" s="11"/>
      <c r="B12" s="1" t="s">
        <v>4</v>
      </c>
      <c r="C12" s="1">
        <v>4460</v>
      </c>
      <c r="D12" s="1">
        <v>4520</v>
      </c>
      <c r="E12" s="1">
        <v>4450</v>
      </c>
      <c r="F12" s="1">
        <v>4440</v>
      </c>
      <c r="G12" s="1">
        <v>4520</v>
      </c>
      <c r="I12" s="3">
        <f t="shared" si="0"/>
        <v>1.3452914798206279</v>
      </c>
      <c r="J12" s="4">
        <f t="shared" si="1"/>
        <v>0.22421524663677131</v>
      </c>
      <c r="K12" s="3">
        <f t="shared" si="2"/>
        <v>0.44843049327354262</v>
      </c>
      <c r="L12" s="3">
        <f t="shared" si="3"/>
        <v>1.3452914798206279</v>
      </c>
      <c r="N12" s="3">
        <f t="shared" si="4"/>
        <v>1.3452914798206279</v>
      </c>
      <c r="O12" s="11"/>
      <c r="P12" s="1" t="s">
        <v>4</v>
      </c>
      <c r="Q12" s="1">
        <v>4740</v>
      </c>
      <c r="R12" s="1">
        <v>4780</v>
      </c>
      <c r="S12" s="1">
        <v>4760</v>
      </c>
      <c r="T12" s="1">
        <v>4780</v>
      </c>
      <c r="U12" s="1">
        <v>4770</v>
      </c>
      <c r="W12" s="3">
        <f t="shared" si="5"/>
        <v>0.8438818565400843</v>
      </c>
      <c r="X12" s="4">
        <f t="shared" si="6"/>
        <v>0.42194092827004215</v>
      </c>
      <c r="Y12" s="3">
        <f t="shared" si="7"/>
        <v>0.8438818565400843</v>
      </c>
      <c r="Z12" s="3">
        <f t="shared" si="8"/>
        <v>0.63291139240506333</v>
      </c>
      <c r="AB12" s="3">
        <f t="shared" si="9"/>
        <v>0.8438818565400843</v>
      </c>
    </row>
    <row r="13" spans="1:28" ht="28" x14ac:dyDescent="0.3">
      <c r="A13" s="11"/>
      <c r="B13" s="1" t="s">
        <v>5</v>
      </c>
      <c r="C13" s="1">
        <v>4970</v>
      </c>
      <c r="D13" s="1">
        <v>5030</v>
      </c>
      <c r="E13" s="1">
        <v>4990</v>
      </c>
      <c r="F13" s="1">
        <v>5000</v>
      </c>
      <c r="G13" s="1">
        <v>4970</v>
      </c>
      <c r="I13" s="3">
        <f t="shared" si="0"/>
        <v>1.2072434607645874</v>
      </c>
      <c r="J13" s="3">
        <f t="shared" si="1"/>
        <v>0.4024144869215292</v>
      </c>
      <c r="K13" s="3">
        <f t="shared" si="2"/>
        <v>0.60362173038229372</v>
      </c>
      <c r="L13" s="4">
        <f t="shared" si="3"/>
        <v>0</v>
      </c>
      <c r="N13" s="3">
        <f t="shared" si="4"/>
        <v>1.2072434607645874</v>
      </c>
      <c r="O13" s="11"/>
      <c r="P13" s="1" t="s">
        <v>5</v>
      </c>
      <c r="Q13" s="1">
        <v>4980</v>
      </c>
      <c r="R13" s="1">
        <v>4970</v>
      </c>
      <c r="S13" s="1">
        <v>4970</v>
      </c>
      <c r="T13" s="1">
        <v>4950</v>
      </c>
      <c r="U13" s="1">
        <v>4960</v>
      </c>
      <c r="W13" s="4">
        <f t="shared" si="5"/>
        <v>0.20080321285140559</v>
      </c>
      <c r="X13" s="4">
        <f t="shared" si="6"/>
        <v>0.20080321285140559</v>
      </c>
      <c r="Y13" s="3">
        <f t="shared" si="7"/>
        <v>0.60240963855421692</v>
      </c>
      <c r="Z13" s="3">
        <f t="shared" si="8"/>
        <v>0.40160642570281119</v>
      </c>
      <c r="AB13" s="3">
        <f t="shared" si="9"/>
        <v>0.60240963855421692</v>
      </c>
    </row>
    <row r="14" spans="1:28" ht="28" x14ac:dyDescent="0.3">
      <c r="A14" s="11"/>
      <c r="B14" s="1" t="s">
        <v>6</v>
      </c>
      <c r="C14" s="1">
        <v>5530</v>
      </c>
      <c r="D14" s="1">
        <v>5530</v>
      </c>
      <c r="E14" s="1">
        <v>5560</v>
      </c>
      <c r="F14" s="1">
        <v>5520</v>
      </c>
      <c r="G14" s="1">
        <v>5510</v>
      </c>
      <c r="I14" s="4">
        <f t="shared" si="0"/>
        <v>0</v>
      </c>
      <c r="J14" s="3">
        <f t="shared" si="1"/>
        <v>0.54249547920433994</v>
      </c>
      <c r="K14" s="3">
        <f t="shared" si="2"/>
        <v>0.18083182640144665</v>
      </c>
      <c r="L14" s="3">
        <f t="shared" si="3"/>
        <v>0.36166365280289331</v>
      </c>
      <c r="N14" s="3">
        <f t="shared" si="4"/>
        <v>0.54249547920433994</v>
      </c>
      <c r="O14" s="11"/>
      <c r="P14" s="1" t="s">
        <v>6</v>
      </c>
      <c r="Q14" s="1">
        <v>5170</v>
      </c>
      <c r="R14" s="1">
        <v>5150</v>
      </c>
      <c r="S14" s="1">
        <v>5150</v>
      </c>
      <c r="T14" s="1">
        <v>5170</v>
      </c>
      <c r="U14" s="1">
        <v>5180</v>
      </c>
      <c r="W14" s="3">
        <f t="shared" si="5"/>
        <v>0.38684719535783368</v>
      </c>
      <c r="X14" s="3">
        <f t="shared" si="6"/>
        <v>0.38684719535783368</v>
      </c>
      <c r="Y14" s="4">
        <f t="shared" si="7"/>
        <v>0</v>
      </c>
      <c r="Z14" s="3">
        <f t="shared" si="8"/>
        <v>0.19342359767891684</v>
      </c>
      <c r="AB14" s="3">
        <f t="shared" si="9"/>
        <v>0.38684719535783368</v>
      </c>
    </row>
    <row r="15" spans="1:28" x14ac:dyDescent="0.3">
      <c r="A15" s="11"/>
      <c r="B15" s="1" t="s">
        <v>7</v>
      </c>
      <c r="C15" s="1">
        <v>7400</v>
      </c>
      <c r="D15" s="1">
        <v>7100</v>
      </c>
      <c r="E15" s="1">
        <v>7070</v>
      </c>
      <c r="F15" s="1">
        <v>7030</v>
      </c>
      <c r="G15" s="1">
        <v>6830</v>
      </c>
      <c r="I15" s="4">
        <f t="shared" ref="I15:I39" si="10">ABS((C15-D15)/C15)*100</f>
        <v>4.0540540540540544</v>
      </c>
      <c r="J15" s="3">
        <f t="shared" ref="J15:J39" si="11">ABS((C15-E15)/C15)*100</f>
        <v>4.4594594594594597</v>
      </c>
      <c r="K15" s="3">
        <f t="shared" ref="K15:K39" si="12">ABS((C15-F15)/C15)*100</f>
        <v>5</v>
      </c>
      <c r="L15" s="3">
        <f t="shared" ref="L15:L39" si="13">ABS((C15-G15)/C15)*100</f>
        <v>7.7027027027027035</v>
      </c>
      <c r="N15" s="3">
        <f t="shared" si="4"/>
        <v>7.7027027027027035</v>
      </c>
      <c r="O15" s="11"/>
      <c r="P15" s="1" t="s">
        <v>7</v>
      </c>
      <c r="Q15" s="1">
        <v>5700</v>
      </c>
      <c r="R15" s="1">
        <v>5550</v>
      </c>
      <c r="S15" s="1">
        <v>5470</v>
      </c>
      <c r="T15" s="1">
        <v>5470</v>
      </c>
      <c r="U15" s="1">
        <v>5540</v>
      </c>
      <c r="W15" s="4">
        <f t="shared" si="5"/>
        <v>2.6315789473684208</v>
      </c>
      <c r="X15" s="3">
        <f t="shared" si="6"/>
        <v>4.0350877192982457</v>
      </c>
      <c r="Y15" s="3">
        <f t="shared" si="7"/>
        <v>4.0350877192982457</v>
      </c>
      <c r="Z15" s="3">
        <f t="shared" si="8"/>
        <v>2.807017543859649</v>
      </c>
      <c r="AB15" s="3">
        <f t="shared" si="9"/>
        <v>4.0350877192982457</v>
      </c>
    </row>
    <row r="16" spans="1:28" x14ac:dyDescent="0.3">
      <c r="A16" s="11" t="s">
        <v>11</v>
      </c>
      <c r="B16" s="1" t="s">
        <v>2</v>
      </c>
      <c r="C16" s="1">
        <v>5054.35556</v>
      </c>
      <c r="D16" s="1">
        <v>5010.8911099999996</v>
      </c>
      <c r="E16" s="1">
        <v>5023.9222200000004</v>
      </c>
      <c r="F16" s="1">
        <v>5012.5644400000001</v>
      </c>
      <c r="G16" s="1">
        <v>4728.1466700000001</v>
      </c>
      <c r="I16" s="5">
        <f t="shared" si="10"/>
        <v>0.85994049061321676</v>
      </c>
      <c r="J16" s="6">
        <f t="shared" si="11"/>
        <v>0.60212107436303097</v>
      </c>
      <c r="K16" s="5">
        <f t="shared" si="12"/>
        <v>0.82683379718540939</v>
      </c>
      <c r="L16" s="5">
        <f t="shared" si="13"/>
        <v>6.4540154749223841</v>
      </c>
      <c r="N16" s="3">
        <f t="shared" si="4"/>
        <v>6.4540154749223841</v>
      </c>
      <c r="O16" s="11" t="s">
        <v>11</v>
      </c>
      <c r="P16" s="1" t="s">
        <v>2</v>
      </c>
      <c r="Q16" s="1">
        <v>4904.5577800000001</v>
      </c>
      <c r="R16" s="1">
        <v>4929.6666699999996</v>
      </c>
      <c r="S16" s="1">
        <v>4910.32222</v>
      </c>
      <c r="T16" s="1">
        <v>4893.3</v>
      </c>
      <c r="U16" s="1">
        <v>4912.0533299999997</v>
      </c>
      <c r="W16" s="5">
        <f t="shared" si="5"/>
        <v>0.51195013141428458</v>
      </c>
      <c r="X16" s="6">
        <f t="shared" si="6"/>
        <v>0.11753230889656116</v>
      </c>
      <c r="Y16" s="5">
        <f t="shared" si="7"/>
        <v>0.22953710619757262</v>
      </c>
      <c r="Z16" s="5">
        <f t="shared" si="8"/>
        <v>0.1528282535596846</v>
      </c>
      <c r="AB16" s="5">
        <f t="shared" si="9"/>
        <v>0.51195013141428458</v>
      </c>
    </row>
    <row r="17" spans="1:41" x14ac:dyDescent="0.3">
      <c r="A17" s="11"/>
      <c r="B17" s="1" t="s">
        <v>3</v>
      </c>
      <c r="C17" s="1">
        <v>1416.0695900000001</v>
      </c>
      <c r="D17" s="1">
        <v>1385.5082199999999</v>
      </c>
      <c r="E17" s="1">
        <v>1453.2774999999999</v>
      </c>
      <c r="F17" s="1">
        <v>1399.73317</v>
      </c>
      <c r="G17" s="1">
        <v>1392.04926</v>
      </c>
      <c r="I17" s="5">
        <f t="shared" si="10"/>
        <v>2.1581827768789332</v>
      </c>
      <c r="J17" s="5">
        <f t="shared" si="11"/>
        <v>2.6275481277724393</v>
      </c>
      <c r="K17" s="6">
        <f t="shared" si="12"/>
        <v>1.1536452809497935</v>
      </c>
      <c r="L17" s="5">
        <f t="shared" si="13"/>
        <v>1.6962676248135558</v>
      </c>
      <c r="N17" s="3">
        <f t="shared" si="4"/>
        <v>2.6275481277724393</v>
      </c>
      <c r="O17" s="11"/>
      <c r="P17" s="1" t="s">
        <v>3</v>
      </c>
      <c r="Q17" s="1">
        <v>373.96436999999997</v>
      </c>
      <c r="R17" s="1">
        <v>298.78025000000002</v>
      </c>
      <c r="S17" s="1">
        <v>311.94299000000001</v>
      </c>
      <c r="T17" s="1">
        <v>288.7235</v>
      </c>
      <c r="U17" s="1">
        <v>303.36946999999998</v>
      </c>
      <c r="W17" s="5">
        <f t="shared" si="5"/>
        <v>20.104621196933802</v>
      </c>
      <c r="X17" s="6">
        <f t="shared" si="6"/>
        <v>16.584836678424729</v>
      </c>
      <c r="Y17" s="5">
        <f t="shared" si="7"/>
        <v>22.793847980758162</v>
      </c>
      <c r="Z17" s="5">
        <f t="shared" si="8"/>
        <v>18.877440115484799</v>
      </c>
      <c r="AB17" s="5">
        <f t="shared" si="9"/>
        <v>22.793847980758162</v>
      </c>
    </row>
    <row r="18" spans="1:41" ht="28" x14ac:dyDescent="0.3">
      <c r="A18" s="11"/>
      <c r="B18" s="1" t="s">
        <v>4</v>
      </c>
      <c r="C18" s="1">
        <v>3990</v>
      </c>
      <c r="D18" s="1">
        <v>3910</v>
      </c>
      <c r="E18" s="1">
        <v>3940</v>
      </c>
      <c r="F18" s="1">
        <v>3960</v>
      </c>
      <c r="G18" s="1">
        <v>3707.5</v>
      </c>
      <c r="I18" s="5">
        <f t="shared" si="10"/>
        <v>2.0050125313283207</v>
      </c>
      <c r="J18" s="5">
        <f t="shared" si="11"/>
        <v>1.2531328320802004</v>
      </c>
      <c r="K18" s="6">
        <f t="shared" si="12"/>
        <v>0.75187969924812026</v>
      </c>
      <c r="L18" s="5">
        <f t="shared" si="13"/>
        <v>7.0802005012531328</v>
      </c>
      <c r="N18" s="3">
        <f t="shared" si="4"/>
        <v>7.0802005012531328</v>
      </c>
      <c r="O18" s="11"/>
      <c r="P18" s="1" t="s">
        <v>4</v>
      </c>
      <c r="Q18" s="1">
        <v>4650</v>
      </c>
      <c r="R18" s="1">
        <v>4730</v>
      </c>
      <c r="S18" s="1">
        <v>4700</v>
      </c>
      <c r="T18" s="1">
        <v>4730</v>
      </c>
      <c r="U18" s="1">
        <v>4690</v>
      </c>
      <c r="W18" s="5">
        <f t="shared" si="5"/>
        <v>1.7204301075268817</v>
      </c>
      <c r="X18" s="5">
        <f t="shared" si="6"/>
        <v>1.0752688172043012</v>
      </c>
      <c r="Y18" s="5">
        <f t="shared" si="7"/>
        <v>1.7204301075268817</v>
      </c>
      <c r="Z18" s="6">
        <f t="shared" si="8"/>
        <v>0.86021505376344087</v>
      </c>
      <c r="AB18" s="5">
        <f t="shared" si="9"/>
        <v>1.7204301075268817</v>
      </c>
    </row>
    <row r="19" spans="1:41" ht="28" x14ac:dyDescent="0.3">
      <c r="A19" s="11"/>
      <c r="B19" s="1" t="s">
        <v>5</v>
      </c>
      <c r="C19" s="1">
        <v>5010</v>
      </c>
      <c r="D19" s="1">
        <v>4970</v>
      </c>
      <c r="E19" s="1">
        <v>4965</v>
      </c>
      <c r="F19" s="1">
        <v>4970</v>
      </c>
      <c r="G19" s="1">
        <v>4650</v>
      </c>
      <c r="I19" s="6">
        <f t="shared" si="10"/>
        <v>0.79840319361277434</v>
      </c>
      <c r="J19" s="5">
        <f t="shared" si="11"/>
        <v>0.89820359281437123</v>
      </c>
      <c r="K19" s="6">
        <f t="shared" si="12"/>
        <v>0.79840319361277434</v>
      </c>
      <c r="L19" s="5">
        <f t="shared" si="13"/>
        <v>7.1856287425149699</v>
      </c>
      <c r="N19" s="3">
        <f t="shared" si="4"/>
        <v>7.1856287425149699</v>
      </c>
      <c r="O19" s="11"/>
      <c r="P19" s="1" t="s">
        <v>5</v>
      </c>
      <c r="Q19" s="1">
        <v>4910</v>
      </c>
      <c r="R19" s="1">
        <v>4950</v>
      </c>
      <c r="S19" s="1">
        <v>4900</v>
      </c>
      <c r="T19" s="1">
        <v>4910</v>
      </c>
      <c r="U19" s="1">
        <v>4920</v>
      </c>
      <c r="W19" s="5">
        <f t="shared" si="5"/>
        <v>0.81466395112016288</v>
      </c>
      <c r="X19" s="5">
        <f t="shared" si="6"/>
        <v>0.20366598778004072</v>
      </c>
      <c r="Y19" s="6">
        <f t="shared" si="7"/>
        <v>0</v>
      </c>
      <c r="Z19" s="5">
        <f t="shared" si="8"/>
        <v>0.20366598778004072</v>
      </c>
      <c r="AB19" s="5">
        <f t="shared" si="9"/>
        <v>0.81466395112016288</v>
      </c>
    </row>
    <row r="20" spans="1:41" ht="28" x14ac:dyDescent="0.3">
      <c r="A20" s="11"/>
      <c r="B20" s="1" t="s">
        <v>6</v>
      </c>
      <c r="C20" s="1">
        <v>6080</v>
      </c>
      <c r="D20" s="1">
        <v>6130</v>
      </c>
      <c r="E20" s="1">
        <v>6150</v>
      </c>
      <c r="F20" s="1">
        <v>6110</v>
      </c>
      <c r="G20" s="1">
        <v>5790</v>
      </c>
      <c r="I20" s="5">
        <f t="shared" si="10"/>
        <v>0.82236842105263153</v>
      </c>
      <c r="J20" s="5">
        <f t="shared" si="11"/>
        <v>1.1513157894736841</v>
      </c>
      <c r="K20" s="6">
        <f t="shared" si="12"/>
        <v>0.49342105263157893</v>
      </c>
      <c r="L20" s="5">
        <f t="shared" si="13"/>
        <v>4.7697368421052637</v>
      </c>
      <c r="N20" s="3">
        <f t="shared" si="4"/>
        <v>4.7697368421052637</v>
      </c>
      <c r="O20" s="11"/>
      <c r="P20" s="1" t="s">
        <v>6</v>
      </c>
      <c r="Q20" s="1">
        <v>5190</v>
      </c>
      <c r="R20" s="1">
        <v>5130</v>
      </c>
      <c r="S20" s="1">
        <v>5110</v>
      </c>
      <c r="T20" s="1">
        <v>5070</v>
      </c>
      <c r="U20" s="1">
        <v>5130</v>
      </c>
      <c r="W20" s="6">
        <f t="shared" si="5"/>
        <v>1.1560693641618496</v>
      </c>
      <c r="X20" s="5">
        <f t="shared" si="6"/>
        <v>1.5414258188824663</v>
      </c>
      <c r="Y20" s="5">
        <f t="shared" si="7"/>
        <v>2.3121387283236992</v>
      </c>
      <c r="Z20" s="6">
        <f t="shared" si="8"/>
        <v>1.1560693641618496</v>
      </c>
      <c r="AB20" s="5">
        <f t="shared" si="9"/>
        <v>2.3121387283236992</v>
      </c>
    </row>
    <row r="21" spans="1:41" x14ac:dyDescent="0.3">
      <c r="A21" s="11"/>
      <c r="B21" s="1" t="s">
        <v>7</v>
      </c>
      <c r="C21" s="1">
        <v>8490</v>
      </c>
      <c r="D21" s="1">
        <v>8180</v>
      </c>
      <c r="E21" s="1">
        <v>8660</v>
      </c>
      <c r="F21" s="1">
        <v>8290</v>
      </c>
      <c r="G21" s="1">
        <v>8380</v>
      </c>
      <c r="I21" s="5">
        <f t="shared" si="10"/>
        <v>3.6513545347467611</v>
      </c>
      <c r="J21" s="5">
        <f t="shared" si="11"/>
        <v>2.0023557126030624</v>
      </c>
      <c r="K21" s="5">
        <f t="shared" si="12"/>
        <v>2.3557126030624262</v>
      </c>
      <c r="L21" s="6">
        <f t="shared" si="13"/>
        <v>1.2956419316843346</v>
      </c>
      <c r="N21" s="3">
        <f t="shared" si="4"/>
        <v>3.6513545347467611</v>
      </c>
      <c r="O21" s="11"/>
      <c r="P21" s="1" t="s">
        <v>7</v>
      </c>
      <c r="Q21" s="1">
        <v>5910</v>
      </c>
      <c r="R21" s="1">
        <v>5710</v>
      </c>
      <c r="S21" s="1">
        <v>5800</v>
      </c>
      <c r="T21" s="1">
        <v>5760</v>
      </c>
      <c r="U21" s="1">
        <v>5810</v>
      </c>
      <c r="W21" s="5">
        <f t="shared" si="5"/>
        <v>3.3840947546531304</v>
      </c>
      <c r="X21" s="5">
        <f t="shared" si="6"/>
        <v>1.8612521150592216</v>
      </c>
      <c r="Y21" s="5">
        <f t="shared" si="7"/>
        <v>2.5380710659898478</v>
      </c>
      <c r="Z21" s="6">
        <f t="shared" si="8"/>
        <v>1.6920473773265652</v>
      </c>
      <c r="AB21" s="5">
        <f t="shared" si="9"/>
        <v>3.3840947546531304</v>
      </c>
    </row>
    <row r="22" spans="1:41" x14ac:dyDescent="0.3">
      <c r="A22" s="11" t="s">
        <v>12</v>
      </c>
      <c r="B22" s="1" t="s">
        <v>2</v>
      </c>
      <c r="C22" s="1">
        <v>5304.2699300000004</v>
      </c>
      <c r="D22" s="1">
        <v>5168.2126699999999</v>
      </c>
      <c r="E22" s="1">
        <v>5254.0133800000003</v>
      </c>
      <c r="F22" s="1">
        <v>5202.6294099999996</v>
      </c>
      <c r="G22" s="1">
        <v>5282.7939399999996</v>
      </c>
      <c r="I22" s="3">
        <f t="shared" si="10"/>
        <v>2.5650515866563466</v>
      </c>
      <c r="J22" s="3">
        <f t="shared" si="11"/>
        <v>0.94747346313878222</v>
      </c>
      <c r="K22" s="3">
        <f t="shared" si="12"/>
        <v>1.9162018777577714</v>
      </c>
      <c r="L22" s="4">
        <f t="shared" si="13"/>
        <v>0.40488116712417793</v>
      </c>
      <c r="N22" s="3">
        <f t="shared" si="4"/>
        <v>2.5650515866563466</v>
      </c>
      <c r="O22" s="11" t="s">
        <v>12</v>
      </c>
      <c r="P22" s="1" t="s">
        <v>2</v>
      </c>
      <c r="Q22" s="1">
        <v>4691.9377800000002</v>
      </c>
      <c r="R22" s="1">
        <v>4719.6911099999998</v>
      </c>
      <c r="S22" s="1">
        <v>4712.72444</v>
      </c>
      <c r="T22" s="1">
        <v>4725.77556</v>
      </c>
      <c r="U22" s="1">
        <v>4735.4777800000002</v>
      </c>
      <c r="W22" s="3">
        <f t="shared" si="5"/>
        <v>0.59151104088169626</v>
      </c>
      <c r="X22" s="4">
        <f t="shared" si="6"/>
        <v>0.44302931911428195</v>
      </c>
      <c r="Y22" s="3">
        <f t="shared" si="7"/>
        <v>0.72118987051017192</v>
      </c>
      <c r="Z22" s="3">
        <f t="shared" si="8"/>
        <v>0.92797479509628034</v>
      </c>
      <c r="AB22" s="3">
        <f>MAX(W22:Z22)</f>
        <v>0.92797479509628034</v>
      </c>
    </row>
    <row r="23" spans="1:41" x14ac:dyDescent="0.3">
      <c r="A23" s="11"/>
      <c r="B23" s="1" t="s">
        <v>3</v>
      </c>
      <c r="C23" s="1">
        <v>2733.0117300000002</v>
      </c>
      <c r="D23" s="1">
        <v>2501.2307500000002</v>
      </c>
      <c r="E23" s="1">
        <v>2298.9085599999999</v>
      </c>
      <c r="F23" s="1">
        <v>2518.9347200000002</v>
      </c>
      <c r="G23" s="1">
        <v>2420.1598800000002</v>
      </c>
      <c r="I23" s="3">
        <f t="shared" si="10"/>
        <v>8.4807897988787637</v>
      </c>
      <c r="J23" s="3">
        <f t="shared" si="11"/>
        <v>15.883692164028886</v>
      </c>
      <c r="K23" s="4">
        <f t="shared" si="12"/>
        <v>7.8330073614429727</v>
      </c>
      <c r="L23" s="3">
        <f t="shared" si="13"/>
        <v>11.447146258680711</v>
      </c>
      <c r="N23" s="3">
        <f t="shared" si="4"/>
        <v>15.883692164028886</v>
      </c>
      <c r="O23" s="11"/>
      <c r="P23" s="1" t="s">
        <v>3</v>
      </c>
      <c r="Q23" s="1">
        <v>793.79326000000003</v>
      </c>
      <c r="R23" s="1">
        <v>672.63982999999996</v>
      </c>
      <c r="S23" s="1">
        <v>678.83338000000003</v>
      </c>
      <c r="T23" s="1">
        <v>751.45708999999999</v>
      </c>
      <c r="U23" s="1">
        <v>575.21748000000002</v>
      </c>
      <c r="W23" s="3">
        <f t="shared" si="5"/>
        <v>15.262592428663361</v>
      </c>
      <c r="X23" s="3">
        <f t="shared" si="6"/>
        <v>14.482345188972756</v>
      </c>
      <c r="Y23" s="4">
        <f t="shared" si="7"/>
        <v>5.3334000341600323</v>
      </c>
      <c r="Z23" s="3">
        <f t="shared" si="8"/>
        <v>27.535605429554792</v>
      </c>
      <c r="AB23" s="3">
        <f t="shared" si="9"/>
        <v>27.535605429554792</v>
      </c>
    </row>
    <row r="24" spans="1:41" ht="28" x14ac:dyDescent="0.3">
      <c r="A24" s="11"/>
      <c r="B24" s="1" t="s">
        <v>4</v>
      </c>
      <c r="C24" s="1">
        <v>3300</v>
      </c>
      <c r="D24" s="1">
        <v>3100</v>
      </c>
      <c r="E24" s="1">
        <v>3430</v>
      </c>
      <c r="F24" s="1">
        <v>3170</v>
      </c>
      <c r="G24" s="1">
        <v>3280</v>
      </c>
      <c r="I24" s="3">
        <f t="shared" si="10"/>
        <v>6.0606060606060606</v>
      </c>
      <c r="J24" s="3">
        <f t="shared" si="11"/>
        <v>3.939393939393939</v>
      </c>
      <c r="K24" s="3">
        <f t="shared" si="12"/>
        <v>3.939393939393939</v>
      </c>
      <c r="L24" s="4">
        <f t="shared" si="13"/>
        <v>0.60606060606060608</v>
      </c>
      <c r="N24" s="3">
        <f t="shared" si="4"/>
        <v>6.0606060606060606</v>
      </c>
      <c r="O24" s="11"/>
      <c r="P24" s="1" t="s">
        <v>4</v>
      </c>
      <c r="Q24" s="1">
        <v>4200</v>
      </c>
      <c r="R24" s="1">
        <v>4300</v>
      </c>
      <c r="S24" s="1">
        <v>4300</v>
      </c>
      <c r="T24" s="1">
        <v>4210</v>
      </c>
      <c r="U24" s="1">
        <v>4390</v>
      </c>
      <c r="W24" s="3">
        <f t="shared" si="5"/>
        <v>2.3809523809523809</v>
      </c>
      <c r="X24" s="3">
        <f t="shared" si="6"/>
        <v>2.3809523809523809</v>
      </c>
      <c r="Y24" s="4">
        <f t="shared" si="7"/>
        <v>0.23809523809523811</v>
      </c>
      <c r="Z24" s="3">
        <f t="shared" si="8"/>
        <v>4.5238095238095237</v>
      </c>
      <c r="AB24" s="3">
        <f t="shared" si="9"/>
        <v>4.5238095238095237</v>
      </c>
    </row>
    <row r="25" spans="1:41" ht="28" x14ac:dyDescent="0.3">
      <c r="A25" s="11"/>
      <c r="B25" s="1" t="s">
        <v>5</v>
      </c>
      <c r="C25" s="1">
        <v>5160</v>
      </c>
      <c r="D25" s="1">
        <v>5190</v>
      </c>
      <c r="E25" s="1">
        <v>5270</v>
      </c>
      <c r="F25" s="1">
        <v>5130</v>
      </c>
      <c r="G25" s="1">
        <v>5480</v>
      </c>
      <c r="I25" s="4">
        <f t="shared" si="10"/>
        <v>0.58139534883720934</v>
      </c>
      <c r="J25" s="3">
        <f t="shared" si="11"/>
        <v>2.1317829457364339</v>
      </c>
      <c r="K25" s="4">
        <f t="shared" si="12"/>
        <v>0.58139534883720934</v>
      </c>
      <c r="L25" s="3">
        <f t="shared" si="13"/>
        <v>6.2015503875968996</v>
      </c>
      <c r="N25" s="3">
        <f t="shared" si="4"/>
        <v>6.2015503875968996</v>
      </c>
      <c r="O25" s="11"/>
      <c r="P25" s="1" t="s">
        <v>5</v>
      </c>
      <c r="Q25" s="1">
        <v>4780</v>
      </c>
      <c r="R25" s="1">
        <v>4780</v>
      </c>
      <c r="S25" s="1">
        <v>4750</v>
      </c>
      <c r="T25" s="1">
        <v>4720</v>
      </c>
      <c r="U25" s="1">
        <v>4770</v>
      </c>
      <c r="W25" s="4">
        <f t="shared" si="5"/>
        <v>0</v>
      </c>
      <c r="X25" s="3">
        <f t="shared" si="6"/>
        <v>0.62761506276150625</v>
      </c>
      <c r="Y25" s="3">
        <f t="shared" si="7"/>
        <v>1.2552301255230125</v>
      </c>
      <c r="Z25" s="3">
        <f t="shared" si="8"/>
        <v>0.20920502092050208</v>
      </c>
      <c r="AB25" s="3">
        <f t="shared" si="9"/>
        <v>1.2552301255230125</v>
      </c>
      <c r="AO25" s="1">
        <v>888</v>
      </c>
    </row>
    <row r="26" spans="1:41" ht="28" x14ac:dyDescent="0.3">
      <c r="A26" s="11"/>
      <c r="B26" s="1" t="s">
        <v>6</v>
      </c>
      <c r="C26" s="1">
        <v>7070</v>
      </c>
      <c r="D26" s="1">
        <v>6930</v>
      </c>
      <c r="E26" s="1">
        <v>6942.5</v>
      </c>
      <c r="F26" s="1">
        <v>7000</v>
      </c>
      <c r="G26" s="1">
        <v>6880</v>
      </c>
      <c r="I26" s="3">
        <f t="shared" si="10"/>
        <v>1.9801980198019802</v>
      </c>
      <c r="J26" s="3">
        <f t="shared" si="11"/>
        <v>1.8033946251768036</v>
      </c>
      <c r="K26" s="4">
        <f t="shared" si="12"/>
        <v>0.99009900990099009</v>
      </c>
      <c r="L26" s="3">
        <f t="shared" si="13"/>
        <v>2.6874115983026874</v>
      </c>
      <c r="N26" s="3">
        <f t="shared" si="4"/>
        <v>2.6874115983026874</v>
      </c>
      <c r="O26" s="11"/>
      <c r="P26" s="1" t="s">
        <v>6</v>
      </c>
      <c r="Q26" s="1">
        <v>5260</v>
      </c>
      <c r="R26" s="1">
        <v>5200</v>
      </c>
      <c r="S26" s="1">
        <v>5240</v>
      </c>
      <c r="T26" s="1">
        <v>5240</v>
      </c>
      <c r="U26" s="1">
        <v>5132.5</v>
      </c>
      <c r="W26" s="3">
        <f t="shared" si="5"/>
        <v>1.1406844106463878</v>
      </c>
      <c r="X26" s="4">
        <f t="shared" si="6"/>
        <v>0.38022813688212925</v>
      </c>
      <c r="Y26" s="4">
        <f t="shared" si="7"/>
        <v>0.38022813688212925</v>
      </c>
      <c r="Z26" s="3">
        <f t="shared" si="8"/>
        <v>2.4239543726235739</v>
      </c>
      <c r="AB26" s="3">
        <f t="shared" si="9"/>
        <v>2.4239543726235739</v>
      </c>
    </row>
    <row r="27" spans="1:41" x14ac:dyDescent="0.3">
      <c r="A27" s="11"/>
      <c r="B27" s="1" t="s">
        <v>7</v>
      </c>
      <c r="C27" s="1">
        <v>14000</v>
      </c>
      <c r="D27" s="1">
        <v>12800</v>
      </c>
      <c r="E27" s="1">
        <v>12000</v>
      </c>
      <c r="F27" s="1">
        <v>14300</v>
      </c>
      <c r="G27" s="1">
        <v>12800</v>
      </c>
      <c r="I27" s="3">
        <f t="shared" si="10"/>
        <v>8.5714285714285712</v>
      </c>
      <c r="J27" s="3">
        <f t="shared" si="11"/>
        <v>14.285714285714285</v>
      </c>
      <c r="K27" s="4">
        <f t="shared" si="12"/>
        <v>2.1428571428571428</v>
      </c>
      <c r="L27" s="3">
        <f t="shared" si="13"/>
        <v>8.5714285714285712</v>
      </c>
      <c r="N27" s="3">
        <f t="shared" si="4"/>
        <v>14.285714285714285</v>
      </c>
      <c r="O27" s="11"/>
      <c r="P27" s="1" t="s">
        <v>7</v>
      </c>
      <c r="Q27" s="1">
        <v>6710</v>
      </c>
      <c r="R27" s="1">
        <v>6360</v>
      </c>
      <c r="S27" s="1">
        <v>6180</v>
      </c>
      <c r="T27" s="1">
        <v>7060</v>
      </c>
      <c r="U27" s="1">
        <v>6590</v>
      </c>
      <c r="W27" s="3">
        <f t="shared" si="5"/>
        <v>5.216095380029806</v>
      </c>
      <c r="X27" s="3">
        <f t="shared" si="6"/>
        <v>7.8986587183308492</v>
      </c>
      <c r="Y27" s="3">
        <f t="shared" si="7"/>
        <v>5.216095380029806</v>
      </c>
      <c r="Z27" s="4">
        <f t="shared" si="8"/>
        <v>1.7883755588673622</v>
      </c>
      <c r="AB27" s="3">
        <f t="shared" si="9"/>
        <v>7.8986587183308492</v>
      </c>
    </row>
    <row r="28" spans="1:41" x14ac:dyDescent="0.3">
      <c r="A28" s="11" t="s">
        <v>13</v>
      </c>
      <c r="B28" s="1" t="s">
        <v>2</v>
      </c>
      <c r="C28" s="1">
        <v>5834.4544800000003</v>
      </c>
      <c r="D28" s="1">
        <v>5714.0205699999997</v>
      </c>
      <c r="E28" s="1">
        <v>5774.7726899999998</v>
      </c>
      <c r="F28" s="1">
        <v>5854.44092</v>
      </c>
      <c r="G28" s="1">
        <v>5811.8120200000003</v>
      </c>
      <c r="I28" s="5">
        <f t="shared" si="10"/>
        <v>2.0641845850856764</v>
      </c>
      <c r="J28" s="5">
        <f t="shared" si="11"/>
        <v>1.0229197983219256</v>
      </c>
      <c r="K28" s="6">
        <f t="shared" si="12"/>
        <v>0.3425588470783591</v>
      </c>
      <c r="L28" s="5">
        <f t="shared" si="13"/>
        <v>0.38808186913817566</v>
      </c>
      <c r="N28" s="3">
        <f t="shared" si="4"/>
        <v>2.0641845850856764</v>
      </c>
      <c r="O28" s="11" t="s">
        <v>13</v>
      </c>
      <c r="P28" s="1" t="s">
        <v>2</v>
      </c>
      <c r="Q28" s="1">
        <v>4375.7762700000003</v>
      </c>
      <c r="R28" s="1">
        <v>4436.0311099999999</v>
      </c>
      <c r="S28" s="1">
        <v>4508.24</v>
      </c>
      <c r="T28" s="1">
        <v>4464.3488900000002</v>
      </c>
      <c r="U28" s="1">
        <v>4483.4208900000003</v>
      </c>
      <c r="W28" s="6">
        <f t="shared" si="5"/>
        <v>1.3770091586515141</v>
      </c>
      <c r="X28" s="5">
        <f t="shared" si="6"/>
        <v>3.0272052734542454</v>
      </c>
      <c r="Y28" s="5">
        <f t="shared" si="7"/>
        <v>2.0241578758778704</v>
      </c>
      <c r="Z28" s="5">
        <f t="shared" si="8"/>
        <v>2.460011969487645</v>
      </c>
      <c r="AB28" s="5">
        <f t="shared" si="9"/>
        <v>3.0272052734542454</v>
      </c>
    </row>
    <row r="29" spans="1:41" x14ac:dyDescent="0.3">
      <c r="A29" s="11"/>
      <c r="B29" s="1" t="s">
        <v>3</v>
      </c>
      <c r="C29" s="1">
        <v>3868.0013199999999</v>
      </c>
      <c r="D29" s="1">
        <v>3606.99181</v>
      </c>
      <c r="E29" s="1">
        <v>3426.4960000000001</v>
      </c>
      <c r="F29" s="1">
        <v>3466.98749</v>
      </c>
      <c r="G29" s="1">
        <v>3514.0476100000001</v>
      </c>
      <c r="I29" s="6">
        <f t="shared" si="10"/>
        <v>6.7479167768226063</v>
      </c>
      <c r="J29" s="5">
        <f t="shared" si="11"/>
        <v>11.414301171955128</v>
      </c>
      <c r="K29" s="5">
        <f t="shared" si="12"/>
        <v>10.367468799105785</v>
      </c>
      <c r="L29" s="5">
        <f t="shared" si="13"/>
        <v>9.1508166806933708</v>
      </c>
      <c r="N29" s="3">
        <f t="shared" si="4"/>
        <v>11.414301171955128</v>
      </c>
      <c r="O29" s="11"/>
      <c r="P29" s="1" t="s">
        <v>3</v>
      </c>
      <c r="Q29" s="1">
        <v>1433.4248</v>
      </c>
      <c r="R29" s="1">
        <v>1329.15023</v>
      </c>
      <c r="S29" s="1">
        <v>1130.57133</v>
      </c>
      <c r="T29" s="1">
        <v>1225.2038700000001</v>
      </c>
      <c r="U29" s="1">
        <v>1269.8764799999999</v>
      </c>
      <c r="W29" s="6">
        <f t="shared" si="5"/>
        <v>7.2745057850261858</v>
      </c>
      <c r="X29" s="5">
        <f t="shared" si="6"/>
        <v>21.127963601578543</v>
      </c>
      <c r="Y29" s="5">
        <f t="shared" si="7"/>
        <v>14.526114659101752</v>
      </c>
      <c r="Z29" s="5">
        <f t="shared" si="8"/>
        <v>11.40961981402862</v>
      </c>
      <c r="AB29" s="5">
        <f t="shared" si="9"/>
        <v>21.127963601578543</v>
      </c>
    </row>
    <row r="30" spans="1:41" ht="28" x14ac:dyDescent="0.3">
      <c r="A30" s="11"/>
      <c r="B30" s="1" t="s">
        <v>4</v>
      </c>
      <c r="C30" s="1">
        <v>3090</v>
      </c>
      <c r="D30" s="1">
        <v>2930</v>
      </c>
      <c r="E30" s="1">
        <v>3180</v>
      </c>
      <c r="F30" s="1">
        <v>3180</v>
      </c>
      <c r="G30" s="1">
        <v>2980</v>
      </c>
      <c r="I30" s="5">
        <f t="shared" si="10"/>
        <v>5.1779935275080913</v>
      </c>
      <c r="J30" s="6">
        <f t="shared" si="11"/>
        <v>2.912621359223301</v>
      </c>
      <c r="K30" s="6">
        <f t="shared" si="12"/>
        <v>2.912621359223301</v>
      </c>
      <c r="L30" s="5">
        <f t="shared" si="13"/>
        <v>3.5598705501618122</v>
      </c>
      <c r="N30" s="3">
        <f t="shared" si="4"/>
        <v>5.1779935275080913</v>
      </c>
      <c r="O30" s="11"/>
      <c r="P30" s="1" t="s">
        <v>4</v>
      </c>
      <c r="Q30" s="1">
        <v>3640</v>
      </c>
      <c r="R30" s="1">
        <v>3520</v>
      </c>
      <c r="S30" s="1">
        <v>3740</v>
      </c>
      <c r="T30" s="1">
        <v>3640</v>
      </c>
      <c r="U30" s="1">
        <v>3750</v>
      </c>
      <c r="W30" s="5">
        <f t="shared" si="5"/>
        <v>3.296703296703297</v>
      </c>
      <c r="X30" s="5">
        <f t="shared" si="6"/>
        <v>2.7472527472527473</v>
      </c>
      <c r="Y30" s="6">
        <f t="shared" si="7"/>
        <v>0</v>
      </c>
      <c r="Z30" s="5">
        <f t="shared" si="8"/>
        <v>3.0219780219780219</v>
      </c>
      <c r="AB30" s="5">
        <f t="shared" si="9"/>
        <v>3.296703296703297</v>
      </c>
    </row>
    <row r="31" spans="1:41" ht="28" x14ac:dyDescent="0.3">
      <c r="A31" s="11"/>
      <c r="B31" s="1" t="s">
        <v>5</v>
      </c>
      <c r="C31" s="1">
        <v>5420</v>
      </c>
      <c r="D31" s="1">
        <v>5290</v>
      </c>
      <c r="E31" s="1">
        <v>5410</v>
      </c>
      <c r="F31" s="1">
        <v>5545</v>
      </c>
      <c r="G31" s="1">
        <v>5590</v>
      </c>
      <c r="I31" s="5">
        <f t="shared" si="10"/>
        <v>2.3985239852398523</v>
      </c>
      <c r="J31" s="6">
        <f t="shared" si="11"/>
        <v>0.18450184501845018</v>
      </c>
      <c r="K31" s="5">
        <f t="shared" si="12"/>
        <v>2.3062730627306274</v>
      </c>
      <c r="L31" s="5">
        <f t="shared" si="13"/>
        <v>3.1365313653136528</v>
      </c>
      <c r="N31" s="3">
        <f t="shared" si="4"/>
        <v>3.1365313653136528</v>
      </c>
      <c r="O31" s="11"/>
      <c r="P31" s="1" t="s">
        <v>5</v>
      </c>
      <c r="Q31" s="1">
        <v>4560</v>
      </c>
      <c r="R31" s="1">
        <v>4430</v>
      </c>
      <c r="S31" s="1">
        <v>4465</v>
      </c>
      <c r="T31" s="1">
        <v>4440</v>
      </c>
      <c r="U31" s="1">
        <v>4520</v>
      </c>
      <c r="W31" s="5">
        <f t="shared" si="5"/>
        <v>2.8508771929824559</v>
      </c>
      <c r="X31" s="5">
        <f t="shared" si="6"/>
        <v>2.083333333333333</v>
      </c>
      <c r="Y31" s="5">
        <f t="shared" si="7"/>
        <v>2.6315789473684208</v>
      </c>
      <c r="Z31" s="6">
        <f t="shared" si="8"/>
        <v>0.8771929824561403</v>
      </c>
      <c r="AB31" s="5">
        <f t="shared" si="9"/>
        <v>2.8508771929824559</v>
      </c>
    </row>
    <row r="32" spans="1:41" ht="28" x14ac:dyDescent="0.3">
      <c r="A32" s="11"/>
      <c r="B32" s="1" t="s">
        <v>6</v>
      </c>
      <c r="C32" s="1">
        <v>8040</v>
      </c>
      <c r="D32" s="1">
        <v>8040</v>
      </c>
      <c r="E32" s="1">
        <v>8150</v>
      </c>
      <c r="F32" s="1">
        <v>8330</v>
      </c>
      <c r="G32" s="1">
        <v>8380</v>
      </c>
      <c r="I32" s="6">
        <f t="shared" si="10"/>
        <v>0</v>
      </c>
      <c r="J32" s="5">
        <f t="shared" si="11"/>
        <v>1.3681592039800996</v>
      </c>
      <c r="K32" s="5">
        <f t="shared" si="12"/>
        <v>3.6069651741293534</v>
      </c>
      <c r="L32" s="5">
        <f t="shared" si="13"/>
        <v>4.2288557213930353</v>
      </c>
      <c r="N32" s="3">
        <f t="shared" si="4"/>
        <v>4.2288557213930353</v>
      </c>
      <c r="O32" s="11"/>
      <c r="P32" s="1" t="s">
        <v>6</v>
      </c>
      <c r="Q32" s="1">
        <v>5230</v>
      </c>
      <c r="R32" s="1">
        <v>5300</v>
      </c>
      <c r="S32" s="1">
        <v>5330</v>
      </c>
      <c r="T32" s="1">
        <v>5300</v>
      </c>
      <c r="U32" s="1">
        <v>5400</v>
      </c>
      <c r="W32" s="6">
        <f t="shared" si="5"/>
        <v>1.338432122370937</v>
      </c>
      <c r="X32" s="5">
        <f t="shared" si="6"/>
        <v>1.9120458891013385</v>
      </c>
      <c r="Y32" s="6">
        <f t="shared" si="7"/>
        <v>1.338432122370937</v>
      </c>
      <c r="Z32" s="5">
        <f t="shared" si="8"/>
        <v>3.2504780114722758</v>
      </c>
      <c r="AB32" s="5">
        <f t="shared" si="9"/>
        <v>3.2504780114722758</v>
      </c>
    </row>
    <row r="33" spans="1:28" x14ac:dyDescent="0.3">
      <c r="A33" s="11"/>
      <c r="B33" s="1" t="s">
        <v>7</v>
      </c>
      <c r="C33" s="1">
        <v>19000</v>
      </c>
      <c r="D33" s="1">
        <v>17300</v>
      </c>
      <c r="E33" s="1">
        <v>16100</v>
      </c>
      <c r="F33" s="1">
        <v>16300</v>
      </c>
      <c r="G33" s="1">
        <v>16300</v>
      </c>
      <c r="I33" s="6">
        <f t="shared" si="10"/>
        <v>8.9473684210526319</v>
      </c>
      <c r="J33" s="5">
        <f t="shared" si="11"/>
        <v>15.263157894736842</v>
      </c>
      <c r="K33" s="5">
        <f t="shared" si="12"/>
        <v>14.210526315789473</v>
      </c>
      <c r="L33" s="5">
        <f t="shared" si="13"/>
        <v>14.210526315789473</v>
      </c>
      <c r="N33" s="3">
        <f t="shared" si="4"/>
        <v>15.263157894736842</v>
      </c>
      <c r="O33" s="11"/>
      <c r="P33" s="1" t="s">
        <v>7</v>
      </c>
      <c r="Q33" s="1">
        <v>9840</v>
      </c>
      <c r="R33" s="1">
        <v>8540</v>
      </c>
      <c r="S33" s="1">
        <v>7710</v>
      </c>
      <c r="T33" s="1">
        <v>8010</v>
      </c>
      <c r="U33" s="1">
        <v>7730</v>
      </c>
      <c r="W33" s="6">
        <f t="shared" si="5"/>
        <v>13.211382113821138</v>
      </c>
      <c r="X33" s="5">
        <f t="shared" si="6"/>
        <v>21.646341463414632</v>
      </c>
      <c r="Y33" s="5">
        <f t="shared" si="7"/>
        <v>18.597560975609756</v>
      </c>
      <c r="Z33" s="5">
        <f t="shared" si="8"/>
        <v>21.443089430894307</v>
      </c>
      <c r="AB33" s="5">
        <f t="shared" si="9"/>
        <v>21.646341463414632</v>
      </c>
    </row>
    <row r="34" spans="1:28" x14ac:dyDescent="0.3">
      <c r="A34" s="11" t="s">
        <v>14</v>
      </c>
      <c r="B34" s="1" t="s">
        <v>2</v>
      </c>
      <c r="C34" s="1">
        <v>6980.7540399999998</v>
      </c>
      <c r="D34" s="1">
        <v>6888.0519000000004</v>
      </c>
      <c r="E34" s="1">
        <v>6901.6702100000002</v>
      </c>
      <c r="F34" s="1">
        <v>6642.3747400000002</v>
      </c>
      <c r="G34" s="1">
        <v>6499.5161099999996</v>
      </c>
      <c r="I34" s="3">
        <f t="shared" si="10"/>
        <v>1.3279674297190882</v>
      </c>
      <c r="J34" s="4">
        <f t="shared" si="11"/>
        <v>1.1328837765497262</v>
      </c>
      <c r="K34" s="3">
        <f t="shared" si="12"/>
        <v>4.8473173250493096</v>
      </c>
      <c r="L34" s="3">
        <f t="shared" si="13"/>
        <v>6.8937814918343738</v>
      </c>
      <c r="N34" s="3">
        <f t="shared" si="4"/>
        <v>6.8937814918343738</v>
      </c>
      <c r="O34" s="11" t="s">
        <v>14</v>
      </c>
      <c r="P34" s="1" t="s">
        <v>2</v>
      </c>
      <c r="Q34" s="1">
        <v>3955.4310300000002</v>
      </c>
      <c r="R34" s="1">
        <v>3978.5316899999998</v>
      </c>
      <c r="S34" s="1">
        <v>3748.6677399999999</v>
      </c>
      <c r="T34" s="1">
        <v>3947.9806600000002</v>
      </c>
      <c r="U34" s="1">
        <v>4101.1350700000003</v>
      </c>
      <c r="W34" s="3">
        <f t="shared" si="5"/>
        <v>0.5840238351975412</v>
      </c>
      <c r="X34" s="3">
        <f t="shared" si="6"/>
        <v>5.2273263882444772</v>
      </c>
      <c r="Y34" s="4">
        <f t="shared" si="7"/>
        <v>0.188357980293238</v>
      </c>
      <c r="Z34" s="3">
        <f t="shared" si="8"/>
        <v>3.6836450666161675</v>
      </c>
      <c r="AB34" s="3">
        <f t="shared" si="9"/>
        <v>5.2273263882444772</v>
      </c>
    </row>
    <row r="35" spans="1:28" x14ac:dyDescent="0.3">
      <c r="A35" s="11"/>
      <c r="B35" s="1" t="s">
        <v>3</v>
      </c>
      <c r="C35" s="1">
        <v>6032.5734899999998</v>
      </c>
      <c r="D35" s="1">
        <v>5791.3654900000001</v>
      </c>
      <c r="E35" s="1">
        <v>5384.7692999999999</v>
      </c>
      <c r="F35" s="1">
        <v>5130.4908599999999</v>
      </c>
      <c r="G35" s="1">
        <v>5181.47883</v>
      </c>
      <c r="I35" s="4">
        <f t="shared" si="10"/>
        <v>3.9984262172660183</v>
      </c>
      <c r="J35" s="3">
        <f t="shared" si="11"/>
        <v>10.738438430527928</v>
      </c>
      <c r="K35" s="3">
        <f t="shared" si="12"/>
        <v>14.953529061773599</v>
      </c>
      <c r="L35" s="3">
        <f t="shared" si="13"/>
        <v>14.108318140024846</v>
      </c>
      <c r="N35" s="3">
        <f t="shared" si="4"/>
        <v>14.953529061773599</v>
      </c>
      <c r="O35" s="11"/>
      <c r="P35" s="1" t="s">
        <v>3</v>
      </c>
      <c r="Q35" s="1">
        <v>2429.6887700000002</v>
      </c>
      <c r="R35" s="1">
        <v>2417.0951799999998</v>
      </c>
      <c r="S35" s="1">
        <v>2106.6588400000001</v>
      </c>
      <c r="T35" s="1">
        <v>1847.1896099999999</v>
      </c>
      <c r="U35" s="1">
        <v>2250.1455299999998</v>
      </c>
      <c r="W35" s="4">
        <f t="shared" si="5"/>
        <v>0.51832111814059223</v>
      </c>
      <c r="X35" s="3">
        <f t="shared" si="6"/>
        <v>13.295115571530591</v>
      </c>
      <c r="Y35" s="3">
        <f t="shared" si="7"/>
        <v>23.974229423631087</v>
      </c>
      <c r="Z35" s="3">
        <f t="shared" si="8"/>
        <v>7.3895571406868044</v>
      </c>
      <c r="AB35" s="3">
        <f t="shared" si="9"/>
        <v>23.974229423631087</v>
      </c>
    </row>
    <row r="36" spans="1:28" ht="28" x14ac:dyDescent="0.3">
      <c r="A36" s="11"/>
      <c r="B36" s="1" t="s">
        <v>4</v>
      </c>
      <c r="C36" s="1">
        <v>3190</v>
      </c>
      <c r="D36" s="1">
        <v>2517.5</v>
      </c>
      <c r="E36" s="1">
        <v>2730</v>
      </c>
      <c r="F36" s="1">
        <v>2920</v>
      </c>
      <c r="G36" s="1">
        <v>2450</v>
      </c>
      <c r="I36" s="3">
        <f t="shared" si="10"/>
        <v>21.081504702194355</v>
      </c>
      <c r="J36" s="3">
        <f t="shared" si="11"/>
        <v>14.420062695924765</v>
      </c>
      <c r="K36" s="4">
        <f t="shared" si="12"/>
        <v>8.4639498432601883</v>
      </c>
      <c r="L36" s="3">
        <f t="shared" si="13"/>
        <v>23.197492163009404</v>
      </c>
      <c r="N36" s="3">
        <f t="shared" si="4"/>
        <v>23.197492163009404</v>
      </c>
      <c r="O36" s="11"/>
      <c r="P36" s="1" t="s">
        <v>4</v>
      </c>
      <c r="Q36" s="1">
        <v>2610</v>
      </c>
      <c r="R36" s="1">
        <v>2540</v>
      </c>
      <c r="S36" s="1">
        <v>2190</v>
      </c>
      <c r="T36" s="1">
        <v>3027.5</v>
      </c>
      <c r="U36" s="1">
        <v>2730</v>
      </c>
      <c r="W36" s="4">
        <f t="shared" si="5"/>
        <v>2.6819923371647509</v>
      </c>
      <c r="X36" s="3">
        <f t="shared" si="6"/>
        <v>16.091954022988507</v>
      </c>
      <c r="Y36" s="3">
        <f t="shared" si="7"/>
        <v>15.996168582375478</v>
      </c>
      <c r="Z36" s="3">
        <f t="shared" si="8"/>
        <v>4.5977011494252871</v>
      </c>
      <c r="AB36" s="3">
        <f t="shared" si="9"/>
        <v>16.091954022988507</v>
      </c>
    </row>
    <row r="37" spans="1:28" ht="28" x14ac:dyDescent="0.3">
      <c r="A37" s="11"/>
      <c r="B37" s="1" t="s">
        <v>5</v>
      </c>
      <c r="C37" s="1">
        <v>5890</v>
      </c>
      <c r="D37" s="1">
        <v>6050</v>
      </c>
      <c r="E37" s="1">
        <v>6330</v>
      </c>
      <c r="F37" s="1">
        <v>6010</v>
      </c>
      <c r="G37" s="1">
        <v>5955</v>
      </c>
      <c r="I37" s="3">
        <f t="shared" si="10"/>
        <v>2.7164685908319184</v>
      </c>
      <c r="J37" s="3">
        <f t="shared" si="11"/>
        <v>7.4702886247877753</v>
      </c>
      <c r="K37" s="3">
        <f t="shared" si="12"/>
        <v>2.037351443123939</v>
      </c>
      <c r="L37" s="4">
        <f t="shared" si="13"/>
        <v>1.1035653650254669</v>
      </c>
      <c r="N37" s="3">
        <f t="shared" si="4"/>
        <v>7.4702886247877753</v>
      </c>
      <c r="O37" s="11"/>
      <c r="P37" s="1" t="s">
        <v>5</v>
      </c>
      <c r="Q37" s="1">
        <v>4120</v>
      </c>
      <c r="R37" s="1">
        <v>4090</v>
      </c>
      <c r="S37" s="1">
        <v>4020</v>
      </c>
      <c r="T37" s="1">
        <v>4070</v>
      </c>
      <c r="U37" s="1">
        <v>3990</v>
      </c>
      <c r="W37" s="4">
        <f t="shared" si="5"/>
        <v>0.72815533980582525</v>
      </c>
      <c r="X37" s="3">
        <f t="shared" si="6"/>
        <v>2.4271844660194173</v>
      </c>
      <c r="Y37" s="3">
        <f t="shared" si="7"/>
        <v>1.2135922330097086</v>
      </c>
      <c r="Z37" s="3">
        <f t="shared" si="8"/>
        <v>3.1553398058252426</v>
      </c>
      <c r="AB37" s="3">
        <f t="shared" si="9"/>
        <v>3.1553398058252426</v>
      </c>
    </row>
    <row r="38" spans="1:28" ht="28" x14ac:dyDescent="0.3">
      <c r="A38" s="11"/>
      <c r="B38" s="1" t="s">
        <v>6</v>
      </c>
      <c r="C38" s="1">
        <v>8962.5</v>
      </c>
      <c r="D38" s="1">
        <v>9742.5</v>
      </c>
      <c r="E38" s="1">
        <v>9982.5</v>
      </c>
      <c r="F38" s="1">
        <v>8960</v>
      </c>
      <c r="G38" s="1">
        <v>9350</v>
      </c>
      <c r="I38" s="3">
        <f t="shared" si="10"/>
        <v>8.7029288702928866</v>
      </c>
      <c r="J38" s="3">
        <f t="shared" si="11"/>
        <v>11.380753138075313</v>
      </c>
      <c r="K38" s="4">
        <f t="shared" si="12"/>
        <v>2.7894002789400279E-2</v>
      </c>
      <c r="L38" s="3">
        <f t="shared" si="13"/>
        <v>4.3235704323570436</v>
      </c>
      <c r="N38" s="3">
        <f t="shared" si="4"/>
        <v>11.380753138075313</v>
      </c>
      <c r="O38" s="11"/>
      <c r="P38" s="1" t="s">
        <v>6</v>
      </c>
      <c r="Q38" s="1">
        <v>5162.5</v>
      </c>
      <c r="R38" s="1">
        <v>5190</v>
      </c>
      <c r="S38" s="1">
        <v>5010</v>
      </c>
      <c r="T38" s="1">
        <v>4910</v>
      </c>
      <c r="U38" s="1">
        <v>5230</v>
      </c>
      <c r="W38" s="4">
        <f t="shared" si="5"/>
        <v>0.53268765133171914</v>
      </c>
      <c r="X38" s="3">
        <f t="shared" si="6"/>
        <v>2.9539951573849881</v>
      </c>
      <c r="Y38" s="3">
        <f t="shared" si="7"/>
        <v>4.8910411622276033</v>
      </c>
      <c r="Z38" s="3">
        <f t="shared" si="8"/>
        <v>1.3075060532687652</v>
      </c>
      <c r="AB38" s="3">
        <f t="shared" si="9"/>
        <v>4.8910411622276033</v>
      </c>
    </row>
    <row r="39" spans="1:28" x14ac:dyDescent="0.3">
      <c r="A39" s="11"/>
      <c r="B39" s="1" t="s">
        <v>7</v>
      </c>
      <c r="C39" s="1">
        <v>40100</v>
      </c>
      <c r="D39" s="1">
        <v>34200</v>
      </c>
      <c r="E39" s="1">
        <v>32300</v>
      </c>
      <c r="F39" s="1">
        <v>34700</v>
      </c>
      <c r="G39" s="1">
        <v>34700</v>
      </c>
      <c r="I39" s="3">
        <f t="shared" si="10"/>
        <v>14.713216957605985</v>
      </c>
      <c r="J39" s="3">
        <f t="shared" si="11"/>
        <v>19.451371571072318</v>
      </c>
      <c r="K39" s="4">
        <f t="shared" si="12"/>
        <v>13.466334164588527</v>
      </c>
      <c r="L39" s="4">
        <f t="shared" si="13"/>
        <v>13.466334164588527</v>
      </c>
      <c r="N39" s="3">
        <f t="shared" si="4"/>
        <v>19.451371571072318</v>
      </c>
      <c r="O39" s="11"/>
      <c r="P39" s="1" t="s">
        <v>7</v>
      </c>
      <c r="Q39" s="1">
        <v>17100</v>
      </c>
      <c r="R39" s="1">
        <v>16200</v>
      </c>
      <c r="S39" s="1">
        <v>10400</v>
      </c>
      <c r="T39" s="1">
        <v>11700</v>
      </c>
      <c r="U39" s="1">
        <v>14100</v>
      </c>
      <c r="W39" s="4">
        <f t="shared" si="5"/>
        <v>5.2631578947368416</v>
      </c>
      <c r="X39" s="3">
        <f t="shared" si="6"/>
        <v>39.1812865497076</v>
      </c>
      <c r="Y39" s="3">
        <f t="shared" si="7"/>
        <v>31.578947368421051</v>
      </c>
      <c r="Z39" s="3">
        <f t="shared" si="8"/>
        <v>17.543859649122805</v>
      </c>
      <c r="AB39" s="3">
        <f t="shared" si="9"/>
        <v>39.1812865497076</v>
      </c>
    </row>
    <row r="41" spans="1:28" x14ac:dyDescent="0.3">
      <c r="W41" s="3">
        <v>8.9599999999999999E-2</v>
      </c>
      <c r="X41" s="3">
        <v>10.7974</v>
      </c>
      <c r="Y41" s="3">
        <v>0.82645000000000002</v>
      </c>
      <c r="Z41" s="3">
        <v>0.20121</v>
      </c>
      <c r="AA41" s="1">
        <v>0.19646</v>
      </c>
      <c r="AB41" s="1">
        <v>2.3765999999999998</v>
      </c>
    </row>
    <row r="42" spans="1:28" x14ac:dyDescent="0.3">
      <c r="W42" s="3">
        <v>0.26483000000000001</v>
      </c>
      <c r="X42" s="3">
        <v>15.22322</v>
      </c>
      <c r="Y42" s="3">
        <v>0.84387999999999996</v>
      </c>
      <c r="Z42" s="3">
        <v>0.60241</v>
      </c>
      <c r="AA42" s="1">
        <v>0.38685000000000003</v>
      </c>
      <c r="AB42" s="1">
        <v>4.0350900000000003</v>
      </c>
    </row>
    <row r="43" spans="1:28" x14ac:dyDescent="0.3">
      <c r="H43" s="1">
        <v>0.27945999999999999</v>
      </c>
      <c r="I43" s="3">
        <v>9.5027100000000004</v>
      </c>
      <c r="J43" s="3">
        <v>1.2631600000000001</v>
      </c>
      <c r="K43" s="3">
        <v>0.40240999999999999</v>
      </c>
      <c r="L43" s="3">
        <v>0.19305</v>
      </c>
      <c r="M43" s="1">
        <v>2.1848700000000001</v>
      </c>
      <c r="W43" s="3">
        <v>0.51195000000000002</v>
      </c>
      <c r="X43" s="3">
        <v>22.793849999999999</v>
      </c>
      <c r="Y43" s="3">
        <v>1.7204299999999999</v>
      </c>
      <c r="Z43" s="3">
        <v>0.81466000000000005</v>
      </c>
      <c r="AA43" s="1">
        <v>2.3121399999999999</v>
      </c>
      <c r="AB43" s="1">
        <v>3.38409</v>
      </c>
    </row>
    <row r="44" spans="1:28" x14ac:dyDescent="0.3">
      <c r="H44" s="1">
        <v>0.69086000000000003</v>
      </c>
      <c r="I44" s="3">
        <v>3.7754500000000002</v>
      </c>
      <c r="J44" s="3">
        <v>1.3452900000000001</v>
      </c>
      <c r="K44" s="3">
        <v>1.2072400000000001</v>
      </c>
      <c r="L44" s="3">
        <v>0.54249999999999998</v>
      </c>
      <c r="M44" s="1">
        <v>7.7027000000000001</v>
      </c>
      <c r="W44" s="3">
        <v>0.92796999999999996</v>
      </c>
      <c r="X44" s="3">
        <v>27.535609999999998</v>
      </c>
      <c r="Y44" s="3">
        <v>4.5238100000000001</v>
      </c>
      <c r="Z44" s="3">
        <v>1.2552300000000001</v>
      </c>
      <c r="AA44" s="1">
        <v>2.42395</v>
      </c>
      <c r="AB44" s="1">
        <v>7.8986599999999996</v>
      </c>
    </row>
    <row r="45" spans="1:28" x14ac:dyDescent="0.3">
      <c r="H45" s="1">
        <v>6.4540199999999999</v>
      </c>
      <c r="I45" s="3">
        <v>2.6275499999999998</v>
      </c>
      <c r="J45" s="3">
        <v>7.0801999999999996</v>
      </c>
      <c r="K45" s="3">
        <v>7.1856299999999997</v>
      </c>
      <c r="L45" s="3">
        <v>4.7697399999999996</v>
      </c>
      <c r="M45" s="1">
        <v>3.6513499999999999</v>
      </c>
      <c r="W45" s="3">
        <v>3.0272100000000002</v>
      </c>
      <c r="X45" s="3">
        <v>21.127960000000002</v>
      </c>
      <c r="Y45" s="3">
        <v>3.2967</v>
      </c>
      <c r="Z45" s="3">
        <v>2.8508800000000001</v>
      </c>
      <c r="AA45" s="1">
        <v>3.25048</v>
      </c>
      <c r="AB45" s="1">
        <v>21.646339999999999</v>
      </c>
    </row>
    <row r="46" spans="1:28" x14ac:dyDescent="0.3">
      <c r="H46" s="1">
        <v>2.5650499999999998</v>
      </c>
      <c r="I46" s="3">
        <v>15.88369</v>
      </c>
      <c r="J46" s="3">
        <v>6.0606099999999996</v>
      </c>
      <c r="K46" s="3">
        <v>6.2015500000000001</v>
      </c>
      <c r="L46" s="3">
        <v>2.6874099999999999</v>
      </c>
      <c r="M46" s="1">
        <v>14.28571</v>
      </c>
      <c r="W46" s="3">
        <v>5.2273300000000003</v>
      </c>
      <c r="X46" s="3">
        <v>23.974229999999999</v>
      </c>
      <c r="Y46" s="3">
        <v>16.091950000000001</v>
      </c>
      <c r="Z46" s="3">
        <v>3.1553399999999998</v>
      </c>
      <c r="AA46" s="1">
        <v>4.8910400000000003</v>
      </c>
      <c r="AB46" s="1">
        <v>39.181289999999997</v>
      </c>
    </row>
    <row r="47" spans="1:28" x14ac:dyDescent="0.3">
      <c r="H47" s="1">
        <v>2.0641799999999999</v>
      </c>
      <c r="I47" s="3">
        <v>11.414300000000001</v>
      </c>
      <c r="J47" s="3">
        <v>5.1779900000000003</v>
      </c>
      <c r="K47" s="3">
        <v>3.13653</v>
      </c>
      <c r="L47" s="3">
        <v>4.2288600000000001</v>
      </c>
      <c r="M47" s="1">
        <v>15.263159999999999</v>
      </c>
      <c r="W47" s="3">
        <f>AVERAGE(W41:W46)</f>
        <v>1.6748149999999999</v>
      </c>
      <c r="X47" s="3">
        <f t="shared" ref="X47:AB47" si="14">AVERAGE(X41:X46)</f>
        <v>20.242045000000001</v>
      </c>
      <c r="Y47" s="3">
        <f t="shared" si="14"/>
        <v>4.5505366666666669</v>
      </c>
      <c r="Z47" s="3">
        <f t="shared" si="14"/>
        <v>1.4799549999999997</v>
      </c>
      <c r="AA47" s="3">
        <f t="shared" si="14"/>
        <v>2.2434866666666666</v>
      </c>
      <c r="AB47" s="3">
        <f t="shared" si="14"/>
        <v>13.087011666666664</v>
      </c>
    </row>
    <row r="48" spans="1:28" x14ac:dyDescent="0.3">
      <c r="H48" s="1">
        <v>6.8937799999999996</v>
      </c>
      <c r="I48" s="3">
        <v>14.953530000000001</v>
      </c>
      <c r="J48" s="3">
        <v>23.197489999999998</v>
      </c>
      <c r="K48" s="3">
        <v>7.4702900000000003</v>
      </c>
      <c r="L48" s="3">
        <v>11.380750000000001</v>
      </c>
      <c r="M48" s="1">
        <v>19.451370000000001</v>
      </c>
    </row>
    <row r="49" spans="2:13" x14ac:dyDescent="0.3">
      <c r="H49" s="10">
        <f>AVERAGE(H43:H48)</f>
        <v>3.1578916666666665</v>
      </c>
      <c r="I49" s="10">
        <f t="shared" ref="I49:M49" si="15">AVERAGE(I43:I48)</f>
        <v>9.692871666666667</v>
      </c>
      <c r="J49" s="10">
        <f t="shared" si="15"/>
        <v>7.3541233333333338</v>
      </c>
      <c r="K49" s="10">
        <f t="shared" si="15"/>
        <v>4.2672750000000006</v>
      </c>
      <c r="L49" s="10">
        <f t="shared" si="15"/>
        <v>3.9670516666666664</v>
      </c>
      <c r="M49" s="10">
        <f t="shared" si="15"/>
        <v>10.423193333333332</v>
      </c>
    </row>
    <row r="55" spans="2:13" x14ac:dyDescent="0.3">
      <c r="C55" s="1">
        <v>3</v>
      </c>
      <c r="D55" s="1">
        <v>4</v>
      </c>
      <c r="E55" s="1">
        <v>5</v>
      </c>
      <c r="F55" s="1">
        <v>6</v>
      </c>
      <c r="G55" s="1">
        <v>7</v>
      </c>
      <c r="H55" s="1">
        <v>8</v>
      </c>
    </row>
    <row r="56" spans="2:13" x14ac:dyDescent="0.3">
      <c r="B56" s="1">
        <v>10</v>
      </c>
      <c r="C56" s="1">
        <v>0.91154999999999997</v>
      </c>
      <c r="D56" s="1">
        <v>0.96077000000000001</v>
      </c>
      <c r="E56" s="1">
        <v>0.99839</v>
      </c>
      <c r="F56" s="1">
        <v>0.95072999999999996</v>
      </c>
      <c r="G56" s="1">
        <v>0.95838000000000001</v>
      </c>
      <c r="H56" s="1">
        <v>0.97104000000000001</v>
      </c>
      <c r="I56" s="8">
        <f>AVERAGE(C56:H56)</f>
        <v>0.95847666666666675</v>
      </c>
    </row>
    <row r="57" spans="2:13" x14ac:dyDescent="0.3">
      <c r="B57" s="1">
        <v>20</v>
      </c>
      <c r="C57" s="1">
        <v>0.90678999999999998</v>
      </c>
      <c r="D57" s="1">
        <v>0.98701000000000005</v>
      </c>
      <c r="E57" s="1">
        <v>0.95713999999999999</v>
      </c>
      <c r="F57" s="1">
        <v>0.86826000000000003</v>
      </c>
      <c r="G57" s="1">
        <v>0.91534000000000004</v>
      </c>
      <c r="H57" s="1">
        <v>0.97206000000000004</v>
      </c>
      <c r="I57" s="8">
        <f t="shared" ref="I57:I59" si="16">AVERAGE(C57:H57)</f>
        <v>0.93443333333333323</v>
      </c>
    </row>
    <row r="58" spans="2:13" x14ac:dyDescent="0.3">
      <c r="B58" s="1">
        <v>30</v>
      </c>
      <c r="C58" s="1">
        <v>0.89078000000000002</v>
      </c>
      <c r="D58" s="1">
        <v>0.99933000000000005</v>
      </c>
      <c r="E58" s="1">
        <v>0.99677000000000004</v>
      </c>
      <c r="F58" s="1">
        <v>0.95160999999999996</v>
      </c>
      <c r="G58" s="1">
        <v>0.93310000000000004</v>
      </c>
      <c r="H58" s="1">
        <v>0.91781999999999997</v>
      </c>
      <c r="I58" s="8">
        <f t="shared" si="16"/>
        <v>0.94823499999999994</v>
      </c>
    </row>
    <row r="59" spans="2:13" x14ac:dyDescent="0.3">
      <c r="B59" s="1">
        <v>40</v>
      </c>
      <c r="C59" s="1">
        <v>0.89275000000000004</v>
      </c>
      <c r="D59" s="1">
        <v>0.95437000000000005</v>
      </c>
      <c r="E59" s="1">
        <v>0.97465999999999997</v>
      </c>
      <c r="F59" s="1">
        <v>0.91266999999999998</v>
      </c>
      <c r="G59" s="1">
        <v>0.95037000000000005</v>
      </c>
      <c r="H59" s="1">
        <v>0.95294000000000001</v>
      </c>
      <c r="I59" s="8">
        <f t="shared" si="16"/>
        <v>0.93962666666666672</v>
      </c>
    </row>
    <row r="60" spans="2:13" x14ac:dyDescent="0.3">
      <c r="C60" s="2">
        <f>AVERAGE(C56:C59)</f>
        <v>0.90046749999999998</v>
      </c>
      <c r="D60" s="2">
        <f t="shared" ref="D60:H60" si="17">AVERAGE(D56:D59)</f>
        <v>0.97537000000000007</v>
      </c>
      <c r="E60" s="2">
        <f t="shared" si="17"/>
        <v>0.98174000000000006</v>
      </c>
      <c r="F60" s="2">
        <f t="shared" si="17"/>
        <v>0.92081749999999996</v>
      </c>
      <c r="G60" s="2">
        <f t="shared" si="17"/>
        <v>0.93929750000000001</v>
      </c>
      <c r="H60" s="2">
        <f t="shared" si="17"/>
        <v>0.95346500000000001</v>
      </c>
    </row>
    <row r="62" spans="2:13" x14ac:dyDescent="0.3">
      <c r="B62" s="1">
        <v>10</v>
      </c>
      <c r="C62" s="1">
        <v>0.96287</v>
      </c>
      <c r="D62" s="1">
        <v>0.85087999999999997</v>
      </c>
      <c r="E62" s="1">
        <v>0.80417000000000005</v>
      </c>
      <c r="F62" s="1">
        <v>0.84172000000000002</v>
      </c>
      <c r="G62" s="1">
        <v>0.99885000000000002</v>
      </c>
      <c r="H62" s="1">
        <v>0.98882000000000003</v>
      </c>
      <c r="I62" s="8">
        <f>AVERAGE(C62:H62)</f>
        <v>0.90788499999999994</v>
      </c>
    </row>
    <row r="63" spans="2:13" x14ac:dyDescent="0.3">
      <c r="B63" s="1">
        <v>20</v>
      </c>
      <c r="C63" s="1">
        <v>0.90024000000000004</v>
      </c>
      <c r="D63" s="1">
        <v>0.85797999999999996</v>
      </c>
      <c r="E63" s="1">
        <v>0.81359999999999999</v>
      </c>
      <c r="F63" s="1">
        <v>0.86885000000000001</v>
      </c>
      <c r="G63" s="1">
        <v>0.85382000000000002</v>
      </c>
      <c r="H63" s="1">
        <v>0.95903000000000005</v>
      </c>
      <c r="I63" s="8">
        <f t="shared" ref="I63:I65" si="18">AVERAGE(C63:H63)</f>
        <v>0.87558666666666685</v>
      </c>
    </row>
    <row r="64" spans="2:13" x14ac:dyDescent="0.3">
      <c r="B64" s="1">
        <v>30</v>
      </c>
      <c r="C64" s="1">
        <v>0.87704000000000004</v>
      </c>
      <c r="D64" s="1">
        <v>0.87763000000000002</v>
      </c>
      <c r="E64" s="1">
        <v>0.73592000000000002</v>
      </c>
      <c r="F64" s="1">
        <v>0.94667999999999997</v>
      </c>
      <c r="G64" s="1">
        <v>0.91759000000000002</v>
      </c>
      <c r="H64" s="1">
        <v>0.78478000000000003</v>
      </c>
      <c r="I64" s="8">
        <f t="shared" si="18"/>
        <v>0.85660666666666663</v>
      </c>
    </row>
    <row r="65" spans="2:9" x14ac:dyDescent="0.3">
      <c r="B65" s="1">
        <v>40</v>
      </c>
      <c r="C65" s="1">
        <v>0.94625000000000004</v>
      </c>
      <c r="D65" s="1">
        <v>0.87456</v>
      </c>
      <c r="E65" s="1">
        <v>0.81511</v>
      </c>
      <c r="F65" s="1">
        <v>0.72385999999999995</v>
      </c>
      <c r="G65" s="1">
        <v>0.93645</v>
      </c>
      <c r="H65" s="1">
        <v>0.97314999999999996</v>
      </c>
      <c r="I65" s="8">
        <f t="shared" si="18"/>
        <v>0.87822999999999996</v>
      </c>
    </row>
    <row r="66" spans="2:9" x14ac:dyDescent="0.3">
      <c r="C66" s="9">
        <f>AVERAGE(C62:C65)</f>
        <v>0.92159999999999997</v>
      </c>
      <c r="D66" s="9">
        <f t="shared" ref="D66:H66" si="19">AVERAGE(D62:D65)</f>
        <v>0.86526250000000005</v>
      </c>
      <c r="E66" s="9">
        <f t="shared" si="19"/>
        <v>0.79220000000000002</v>
      </c>
      <c r="F66" s="9">
        <f t="shared" si="19"/>
        <v>0.84527750000000013</v>
      </c>
      <c r="G66" s="9">
        <f t="shared" si="19"/>
        <v>0.92667750000000004</v>
      </c>
      <c r="H66" s="9">
        <f t="shared" si="19"/>
        <v>0.92644500000000007</v>
      </c>
    </row>
  </sheetData>
  <mergeCells count="24">
    <mergeCell ref="A16:A21"/>
    <mergeCell ref="A22:A27"/>
    <mergeCell ref="A28:A33"/>
    <mergeCell ref="A34:A39"/>
    <mergeCell ref="A4:A9"/>
    <mergeCell ref="A10:A15"/>
    <mergeCell ref="D2:G2"/>
    <mergeCell ref="A2:A3"/>
    <mergeCell ref="B2:B3"/>
    <mergeCell ref="C2:C3"/>
    <mergeCell ref="C1:G1"/>
    <mergeCell ref="O1:U1"/>
    <mergeCell ref="O2:O3"/>
    <mergeCell ref="P2:P3"/>
    <mergeCell ref="Q2:Q3"/>
    <mergeCell ref="R2:U2"/>
    <mergeCell ref="O34:O39"/>
    <mergeCell ref="I2:L2"/>
    <mergeCell ref="W2:Z2"/>
    <mergeCell ref="O4:O9"/>
    <mergeCell ref="O10:O15"/>
    <mergeCell ref="O16:O21"/>
    <mergeCell ref="O22:O27"/>
    <mergeCell ref="O28:O3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2024-03-22T15:39:47Z</dcterms:modified>
</cp:coreProperties>
</file>